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Reportes tecnicos\"/>
    </mc:Choice>
  </mc:AlternateContent>
  <bookViews>
    <workbookView xWindow="0" yWindow="0" windowWidth="28800" windowHeight="12435" tabRatio="719" firstSheet="6" activeTab="6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_xlnm.Print_Area" localSheetId="1">Formulário!$A$1:$J$32</definedName>
    <definedName name="_xlnm.Print_Area" localSheetId="6">'Formulário Fotográfico'!$A$1:$P$66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C1" i="3"/>
  <c r="J1" i="6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<sst xmlns="http://schemas.openxmlformats.org/spreadsheetml/2006/main" count="3104" uniqueCount="1136">
  <si>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</si>
  <si>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</si>
  <si>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</si>
  <si>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</si>
  <si>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</si>
  <si>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</si>
  <si>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</si>
  <si>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</si>
  <si>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</si>
  <si>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</si>
  <si>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</si>
  <si>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</si>
  <si>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</si>
  <si>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</si>
  <si>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</si>
  <si>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</si>
  <si>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</si>
  <si>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</si>
  <si>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</si>
  <si>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</si>
  <si>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</si>
  <si>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</si>
  <si>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</si>
  <si>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</si>
  <si>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</si>
  <si>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</si>
  <si>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</si>
  <si>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</si>
  <si>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</si>
  <si>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</si>
  <si>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</si>
  <si>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</si>
  <si>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</si>
  <si>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</si>
  <si>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</si>
  <si>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</si>
  <si>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</si>
  <si>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</si>
  <si>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</si>
  <si>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</si>
  <si>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</si>
  <si>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</si>
  <si>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</si>
  <si>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</si>
  <si>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</si>
  <si>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</si>
  <si>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</si>
  <si>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</si>
  <si>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</si>
  <si>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</si>
  <si>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</si>
  <si>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</si>
  <si>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</si>
  <si>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</si>
  <si>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</si>
  <si>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</si>
  <si>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</si>
  <si>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</si>
  <si>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</si>
  <si>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</si>
  <si>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</si>
  <si>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</si>
  <si>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</si>
  <si>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</si>
  <si>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</si>
  <si>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</si>
  <si>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</si>
  <si>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</si>
  <si>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</si>
  <si>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</si>
  <si>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</si>
  <si>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</si>
  <si>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</si>
  <si>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</si>
  <si>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</si>
  <si>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</si>
  <si>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</si>
  <si>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</si>
  <si>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</si>
  <si>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</si>
  <si>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</si>
  <si>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</si>
  <si>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</si>
  <si>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</si>
  <si>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</si>
  <si>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</si>
  <si>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</si>
  <si>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</si>
  <si>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</si>
  <si>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</si>
  <si>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</si>
  <si>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</si>
  <si>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</si>
  <si>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</si>
  <si>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</si>
  <si>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</si>
  <si>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</si>
  <si>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</si>
  <si>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</si>
  <si>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</si>
  <si>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</si>
  <si>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</si>
  <si>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</si>
  <si>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</si>
  <si>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</si>
  <si>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</si>
  <si>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</si>
  <si>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</si>
  <si>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</si>
  <si>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</si>
  <si>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</si>
  <si>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</si>
  <si>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</si>
  <si>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</si>
  <si>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</si>
  <si>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</si>
  <si>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</si>
  <si>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</si>
  <si>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</si>
  <si>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</si>
  <si>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</si>
  <si>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</si>
  <si>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</si>
  <si>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</si>
  <si>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</si>
  <si>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</si>
  <si>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</si>
  <si>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</si>
  <si>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</si>
  <si>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</si>
  <si>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</si>
  <si>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</si>
  <si>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</si>
  <si>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</si>
  <si>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</si>
  <si>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</si>
  <si>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</si>
  <si>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</si>
  <si>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</si>
  <si>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</si>
  <si>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</si>
  <si>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</si>
  <si>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</si>
  <si>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</si>
  <si>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</si>
  <si>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</si>
  <si>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</si>
  <si>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</si>
  <si>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</si>
  <si>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</si>
  <si>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</si>
  <si>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</si>
  <si>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</si>
  <si>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</si>
  <si>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</si>
  <si>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</si>
  <si>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</si>
  <si>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</si>
  <si>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</si>
  <si>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</si>
  <si>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</si>
  <si>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</si>
  <si>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</si>
  <si>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</si>
  <si>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</si>
  <si>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</si>
  <si>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</si>
  <si>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</si>
  <si>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</si>
  <si>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</si>
  <si>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</si>
  <si>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</si>
  <si>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</si>
  <si>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</si>
  <si>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</si>
  <si>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</si>
  <si>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</si>
  <si>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</si>
  <si>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</si>
  <si>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</si>
  <si>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</si>
  <si>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</si>
  <si>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</si>
  <si>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</si>
  <si>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</si>
  <si>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</si>
  <si>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</si>
  <si>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</si>
  <si>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</si>
  <si>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</si>
  <si>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</si>
  <si>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</si>
  <si>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</si>
  <si>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</si>
  <si>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</si>
  <si>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</si>
  <si>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</si>
  <si>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</si>
  <si>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</si>
  <si>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</si>
  <si>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</si>
  <si>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</si>
  <si>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</si>
  <si>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</si>
  <si>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</si>
  <si>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</si>
  <si>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</si>
  <si>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</si>
  <si>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</si>
  <si>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</si>
  <si>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</si>
  <si>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</si>
  <si>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</si>
  <si>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</si>
  <si>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</si>
  <si>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</si>
  <si>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</si>
  <si>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</si>
  <si>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</si>
  <si>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</si>
  <si>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</si>
  <si>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</si>
  <si>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</si>
  <si>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</si>
  <si>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</si>
  <si>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</si>
  <si>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</si>
  <si>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</si>
  <si>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</si>
  <si>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</si>
  <si>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</si>
  <si>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</si>
  <si>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</si>
  <si>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</si>
  <si>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</si>
  <si>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</si>
  <si>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</si>
  <si>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</si>
  <si>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</si>
  <si>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</si>
  <si>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</si>
  <si>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</si>
  <si>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</si>
  <si>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</si>
  <si>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</si>
  <si>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</si>
  <si>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</si>
  <si>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</si>
  <si>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</si>
  <si>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</si>
  <si>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</si>
  <si>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</si>
  <si>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</si>
  <si>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</si>
  <si>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</si>
  <si>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</si>
  <si>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</si>
  <si>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</si>
  <si>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</si>
  <si>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</si>
  <si>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</si>
  <si>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</si>
  <si>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</si>
  <si>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</si>
  <si>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</si>
  <si>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</si>
  <si>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</si>
  <si>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</si>
  <si>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</si>
  <si>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</si>
  <si>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</si>
  <si>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</si>
  <si>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</si>
  <si>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</si>
  <si>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</si>
  <si>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</si>
  <si>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</si>
  <si>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</si>
  <si>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</si>
  <si>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</si>
  <si>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</si>
  <si>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</si>
  <si>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</si>
  <si>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</si>
  <si>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</si>
  <si>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</si>
  <si>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</si>
  <si>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</si>
  <si>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</si>
  <si>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</si>
  <si>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</si>
  <si>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</si>
  <si>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</si>
  <si>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</si>
  <si>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</si>
  <si>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</si>
  <si>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</si>
  <si>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</si>
  <si>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</si>
  <si>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</si>
  <si>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</si>
  <si>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</si>
  <si>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</si>
  <si>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</si>
  <si>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</si>
  <si>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</si>
  <si>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</si>
  <si>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</si>
  <si>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</si>
  <si>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</si>
  <si>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</si>
  <si>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</si>
  <si>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</si>
  <si>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</si>
  <si>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</si>
  <si>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</si>
  <si>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</si>
  <si>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</si>
  <si>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</si>
  <si>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</si>
  <si>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</si>
  <si>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</si>
  <si>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</si>
  <si>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</si>
  <si>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</si>
  <si>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</si>
  <si>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</si>
  <si>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</si>
  <si>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</si>
  <si>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</si>
  <si>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</si>
  <si>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</si>
  <si>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</si>
  <si>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</si>
  <si>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</si>
  <si>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</si>
  <si>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</si>
  <si>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</si>
  <si>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</si>
  <si>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</si>
  <si>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</si>
  <si>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</si>
  <si>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</si>
  <si>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</si>
  <si>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</si>
  <si>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</si>
  <si>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</si>
  <si>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</si>
  <si>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</si>
  <si>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</si>
  <si>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</si>
  <si>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</si>
  <si>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</si>
  <si>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</si>
  <si>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</si>
  <si>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</si>
  <si>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</si>
  <si>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</si>
  <si>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</si>
  <si>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</si>
  <si>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</si>
  <si>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</si>
  <si>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</si>
  <si>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</si>
  <si>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</si>
  <si>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</si>
  <si>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</si>
  <si>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</si>
  <si>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</si>
  <si>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</si>
  <si>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</si>
  <si>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</si>
  <si>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</si>
  <si>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</si>
  <si>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</si>
  <si>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</si>
  <si>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</si>
  <si>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</si>
  <si>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</si>
  <si>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</si>
  <si>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</si>
  <si>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</si>
  <si>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</si>
  <si>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</si>
  <si>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</si>
  <si>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</si>
  <si>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</si>
  <si>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</si>
  <si>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</si>
  <si>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</si>
  <si>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</si>
  <si>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</si>
  <si>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</si>
  <si>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</si>
  <si>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</si>
  <si>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</si>
  <si>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</si>
  <si>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</si>
  <si>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</si>
  <si>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</si>
  <si>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</si>
  <si>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</si>
  <si>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</si>
  <si>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</si>
  <si>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</si>
  <si>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</si>
  <si>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</si>
  <si>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</si>
  <si>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</si>
  <si>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</si>
  <si>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</si>
  <si>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</si>
  <si>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</si>
  <si>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</si>
  <si>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</si>
  <si>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</si>
  <si>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</si>
  <si>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</si>
  <si>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</si>
  <si>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</si>
  <si>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</si>
  <si>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</si>
  <si>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</si>
  <si>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</si>
  <si>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</si>
  <si>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</si>
  <si>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</si>
  <si>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</si>
  <si>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</si>
  <si>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</si>
  <si>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</si>
  <si>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</si>
  <si>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</si>
  <si>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</si>
  <si>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</si>
  <si>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</si>
  <si>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</si>
  <si>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</si>
  <si>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</si>
  <si>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</si>
  <si>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</si>
  <si>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</si>
  <si>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</si>
  <si>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</si>
  <si>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</si>
  <si>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</si>
  <si>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</si>
  <si>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</si>
  <si>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</si>
  <si>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</si>
  <si>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</si>
  <si>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</si>
  <si>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</si>
  <si>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</si>
  <si>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</si>
  <si>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</si>
  <si>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</si>
  <si>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</si>
  <si>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</si>
  <si>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</si>
  <si>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</si>
  <si>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</si>
  <si>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</si>
  <si>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</si>
  <si>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</si>
  <si>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</si>
  <si>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</si>
  <si>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</si>
  <si>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</si>
  <si>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</si>
  <si>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</si>
  <si>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</si>
  <si>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</si>
  <si>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</si>
  <si>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</si>
  <si>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</si>
  <si>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</si>
  <si>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</si>
  <si>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</si>
  <si>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</si>
  <si>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</si>
  <si>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</si>
  <si>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</si>
  <si>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</si>
  <si>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</si>
  <si>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</si>
  <si>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</si>
  <si>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</si>
  <si>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</si>
  <si>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</si>
  <si>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</si>
  <si>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</si>
  <si>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</si>
  <si>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</si>
  <si>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</si>
  <si>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</si>
  <si>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</si>
  <si>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</si>
  <si>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</si>
  <si>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</si>
  <si>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</si>
  <si>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</si>
  <si>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</si>
  <si>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</si>
  <si>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</si>
  <si>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</si>
  <si>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</si>
  <si>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</si>
  <si>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</si>
  <si>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</si>
  <si>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</si>
  <si>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</si>
  <si>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</si>
  <si>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</si>
  <si>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</si>
  <si>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</si>
  <si>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</si>
  <si>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</si>
  <si>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</si>
  <si>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</si>
  <si>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</si>
  <si>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</si>
  <si>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</si>
  <si>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</si>
  <si>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</si>
  <si>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</si>
  <si>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</si>
  <si>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</si>
  <si>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</si>
  <si>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</si>
  <si>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</si>
  <si>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</si>
  <si>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</si>
  <si>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</si>
  <si>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</si>
  <si>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</si>
  <si>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</si>
  <si>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</si>
  <si>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</si>
  <si>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</si>
  <si>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</si>
  <si>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</si>
  <si>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</si>
  <si>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</si>
  <si>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</si>
  <si>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</si>
  <si>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</si>
  <si>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</si>
  <si>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</si>
  <si>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</si>
  <si>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</si>
  <si>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</si>
  <si>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</si>
  <si>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</si>
  <si>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</si>
  <si>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</si>
  <si>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</si>
  <si>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</si>
  <si>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</si>
  <si>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</si>
  <si>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</si>
  <si>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</si>
  <si>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</si>
  <si>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</si>
  <si>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</si>
  <si>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</si>
  <si>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</si>
  <si>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</si>
  <si>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</si>
  <si>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</si>
  <si>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</si>
  <si>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</si>
  <si>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</si>
  <si>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</si>
  <si>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</si>
  <si>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</si>
  <si>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</si>
  <si>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</si>
  <si>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</si>
  <si>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</si>
  <si>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</si>
  <si>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</si>
  <si>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</si>
  <si>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</si>
  <si>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</si>
  <si>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</si>
  <si>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</si>
  <si>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</si>
  <si>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</si>
  <si>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</si>
  <si>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</si>
  <si>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</si>
  <si>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</si>
  <si>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</si>
  <si>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</si>
  <si>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</si>
  <si>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</si>
  <si>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</si>
  <si>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</si>
  <si>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</si>
  <si>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</si>
  <si>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</si>
  <si>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</si>
  <si>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</si>
  <si>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</si>
  <si>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</si>
  <si>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</si>
  <si>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</si>
  <si>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</si>
  <si>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</si>
  <si>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</si>
  <si>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</si>
  <si>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</si>
  <si>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</si>
  <si>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</si>
  <si>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</si>
  <si>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</si>
  <si>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</si>
  <si>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</si>
  <si>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</si>
  <si>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</si>
  <si>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</si>
  <si>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</si>
  <si>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</si>
  <si>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</si>
  <si>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</si>
  <si>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</si>
  <si>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</si>
  <si>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</si>
  <si>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</si>
  <si>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</si>
  <si>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</si>
  <si>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</si>
  <si>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</si>
  <si>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</si>
  <si>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</si>
  <si>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</si>
  <si>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</si>
  <si>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</si>
  <si>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</si>
  <si>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</si>
  <si>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</si>
  <si>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</si>
  <si>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</si>
  <si>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</si>
  <si>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</si>
  <si>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</si>
  <si>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</si>
  <si>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</si>
  <si>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</si>
  <si>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</si>
  <si>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</si>
  <si>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</si>
  <si>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</si>
  <si>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</si>
  <si>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</si>
  <si>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</si>
  <si>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</si>
  <si>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</si>
  <si>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</si>
  <si>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</si>
  <si>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</si>
  <si>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</si>
  <si>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</si>
  <si>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</si>
  <si>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</si>
  <si>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</si>
  <si>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</si>
  <si>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</si>
  <si>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</si>
  <si>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</si>
  <si>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</si>
  <si>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</si>
  <si>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</si>
  <si>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</si>
  <si>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</si>
  <si>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</si>
  <si>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</si>
  <si>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</si>
  <si>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</si>
  <si>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</si>
  <si>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</si>
  <si>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</si>
  <si>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</si>
  <si>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</si>
  <si>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</si>
  <si>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</si>
  <si>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</si>
  <si>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</si>
  <si>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</si>
  <si>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</si>
  <si>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</si>
  <si>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</si>
  <si>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</si>
  <si>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</si>
  <si>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</si>
  <si>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</si>
  <si>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</si>
  <si>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</si>
  <si>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</si>
  <si>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</si>
  <si>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</si>
  <si>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</si>
  <si>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</si>
  <si>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</si>
  <si>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</si>
  <si>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</si>
  <si>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</si>
  <si>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</si>
  <si>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</si>
  <si>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</si>
  <si>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</si>
  <si>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</si>
  <si>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</si>
  <si>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</si>
  <si>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</si>
  <si>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</si>
  <si>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</si>
  <si>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</si>
  <si>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</si>
  <si>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</si>
  <si>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</si>
  <si>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</si>
  <si>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</si>
  <si>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</si>
  <si>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</si>
  <si>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</si>
  <si>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</si>
  <si>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</si>
  <si>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</si>
  <si>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</si>
  <si>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</si>
  <si>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</si>
  <si>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</si>
  <si>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</si>
  <si>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</si>
  <si>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</si>
  <si>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</si>
  <si>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</si>
  <si>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</si>
  <si>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</si>
  <si>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</si>
  <si>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</si>
  <si>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</si>
  <si>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</si>
  <si>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</si>
  <si>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</si>
  <si>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</si>
  <si>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</si>
  <si>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</si>
  <si>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</si>
  <si>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</si>
  <si>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</si>
  <si>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</si>
  <si>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</si>
  <si>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</si>
  <si>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</si>
  <si>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</si>
  <si>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</si>
  <si>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</si>
  <si>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</si>
  <si>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</si>
  <si>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</si>
  <si>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</si>
  <si>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</si>
  <si>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</si>
  <si>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</si>
  <si>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</si>
  <si>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</si>
  <si>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</si>
  <si>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</si>
  <si>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</si>
  <si>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</si>
  <si>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</si>
  <si>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</si>
  <si>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</si>
  <si>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</si>
  <si>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</si>
  <si>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</si>
  <si>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</si>
  <si>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</si>
  <si>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</si>
  <si>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</si>
  <si>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</si>
  <si>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</si>
  <si>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</si>
  <si>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</si>
  <si>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</si>
  <si>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</si>
  <si>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</si>
  <si>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</si>
  <si>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</si>
  <si>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</si>
  <si>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</si>
  <si>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</si>
  <si>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</si>
  <si>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</si>
  <si>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</si>
  <si>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</si>
  <si>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</si>
  <si>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</si>
  <si>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</si>
  <si>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</si>
  <si>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</si>
  <si>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</si>
  <si>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</si>
  <si>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</si>
  <si>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</si>
  <si>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</si>
  <si>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</si>
  <si>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</si>
  <si>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</si>
  <si>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</si>
  <si>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</si>
  <si>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</si>
  <si>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</si>
  <si>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</si>
  <si>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</si>
  <si>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</si>
  <si>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</si>
  <si>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</si>
  <si>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</si>
  <si>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</si>
  <si>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</si>
  <si>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</si>
  <si>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</si>
  <si>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</si>
  <si>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</si>
  <si>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</si>
  <si>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</si>
  <si>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</si>
  <si>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</si>
  <si>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</si>
  <si>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</si>
  <si>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</si>
  <si>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</si>
  <si>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</si>
  <si>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</si>
  <si>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</si>
  <si>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</si>
  <si>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</si>
  <si>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</si>
  <si>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</si>
  <si>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</si>
  <si>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</si>
  <si>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</si>
  <si>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</si>
  <si>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</si>
  <si>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</si>
  <si>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</si>
  <si>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</si>
  <si>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</si>
  <si>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</si>
  <si>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</si>
  <si>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</si>
  <si>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</si>
  <si>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</si>
  <si>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</si>
  <si>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</si>
  <si>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</si>
  <si>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</si>
  <si>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</si>
  <si>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</si>
  <si>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</si>
  <si>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</si>
  <si>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</si>
  <si>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</si>
  <si>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</si>
  <si>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</si>
  <si>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</si>
  <si>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</si>
  <si>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</si>
  <si>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</si>
  <si>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</si>
  <si>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</si>
  <si>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</si>
  <si>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</si>
  <si>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</si>
  <si>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</si>
  <si>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</si>
  <si>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</si>
  <si>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</si>
  <si>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</si>
  <si>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</si>
  <si>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</si>
  <si>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</si>
  <si>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</si>
  <si>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</si>
  <si>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</si>
  <si>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</si>
  <si>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</si>
  <si>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</si>
  <si>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</si>
  <si>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</si>
  <si>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</si>
  <si>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</si>
  <si>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</si>
  <si>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</si>
  <si>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</si>
  <si>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</si>
  <si>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</si>
  <si>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</si>
  <si>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</si>
  <si>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</si>
  <si>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</si>
  <si>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</si>
  <si>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</si>
  <si>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</si>
  <si>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</si>
  <si>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</si>
  <si>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</si>
  <si>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</si>
  <si>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</si>
  <si>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</si>
  <si>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</si>
  <si>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</si>
  <si>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</si>
  <si>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</si>
  <si>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</si>
  <si>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</si>
  <si>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</si>
  <si>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</si>
  <si>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</si>
  <si>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</si>
  <si>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</si>
  <si>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</si>
  <si>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</si>
  <si>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</si>
  <si>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</si>
  <si>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</si>
  <si>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</si>
  <si>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</si>
  <si>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</si>
  <si>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</si>
  <si>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</si>
  <si>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</si>
  <si>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</si>
  <si>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</si>
  <si>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</si>
  <si>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</si>
  <si>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</si>
  <si>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</si>
  <si>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</si>
  <si>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</si>
  <si>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</si>
  <si>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</si>
  <si>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</si>
  <si>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</si>
  <si>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</si>
  <si>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</si>
  <si>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</si>
  <si>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</si>
  <si>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</si>
  <si>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</si>
  <si>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</si>
  <si>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</si>
  <si>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</si>
  <si>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</si>
  <si>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</si>
  <si>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</si>
  <si>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</si>
  <si>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</si>
  <si>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</si>
  <si>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</si>
  <si>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</si>
  <si>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</si>
  <si>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</si>
  <si>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</si>
  <si>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</si>
  <si>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</si>
  <si>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</si>
  <si>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</si>
  <si>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</si>
  <si>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</si>
  <si>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</si>
  <si>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</si>
  <si>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</si>
  <si>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</si>
  <si>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</si>
  <si>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</si>
  <si>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</si>
  <si>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</si>
  <si>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</si>
  <si>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</si>
  <si>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</si>
  <si>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</si>
  <si>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</si>
  <si>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</si>
  <si>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</si>
  <si>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</si>
  <si>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</si>
  <si>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</si>
  <si>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</si>
  <si>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</si>
  <si>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</si>
  <si>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</si>
  <si>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</si>
  <si>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</si>
  <si>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</si>
  <si>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</si>
  <si>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</si>
  <si>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</si>
  <si>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</si>
  <si>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</si>
  <si>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</si>
  <si>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</si>
  <si>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</si>
  <si>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</si>
  <si>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</si>
  <si>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</si>
  <si>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</si>
  <si>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</si>
  <si>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</si>
  <si>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</si>
  <si>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</si>
  <si>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</si>
  <si>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</si>
  <si>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</si>
  <si>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</si>
  <si>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</si>
  <si>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</si>
  <si>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</si>
  <si>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</si>
  <si>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</si>
  <si>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</si>
  <si>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</si>
  <si>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</si>
  <si>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</si>
  <si>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</si>
  <si>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</si>
  <si>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</si>
  <si>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</si>
  <si>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</si>
  <si>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</si>
  <si>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</si>
  <si>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</si>
  <si>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</si>
  <si>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</si>
  <si>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</si>
  <si>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</si>
  <si>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</si>
  <si>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</si>
  <si>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</si>
  <si>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</si>
  <si>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</si>
  <si>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</si>
  <si>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</si>
  <si>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</si>
  <si>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</si>
  <si>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</si>
  <si>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</si>
  <si>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</si>
  <si>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</si>
  <si>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</si>
  <si>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</si>
  <si>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</si>
  <si>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</si>
  <si>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</si>
  <si>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</si>
  <si>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</si>
  <si>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</si>
  <si>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</si>
  <si>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</si>
  <si>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</si>
  <si>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</si>
  <si>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</si>
  <si>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</si>
  <si>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</si>
  <si>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</si>
  <si>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</si>
  <si>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</si>
  <si>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</si>
  <si>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</si>
  <si>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</si>
  <si>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</si>
  <si>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</si>
  <si>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</si>
  <si>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</si>
  <si>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</si>
  <si>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</si>
  <si>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</si>
  <si>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</si>
  <si>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</si>
  <si>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</si>
  <si>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</si>
  <si>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</si>
  <si>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</si>
  <si>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</si>
  <si>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</si>
  <si>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</si>
  <si>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</si>
  <si>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</si>
  <si>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</si>
  <si>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</si>
  <si>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</si>
  <si>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</si>
  <si>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</si>
  <si>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</si>
  <si>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</si>
  <si>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</si>
  <si>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</si>
  <si>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</si>
  <si>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</si>
  <si>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</si>
  <si>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</si>
  <si>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</si>
  <si>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</si>
  <si>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</si>
  <si>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</si>
  <si>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</si>
  <si>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</si>
  <si>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</si>
  <si>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</si>
  <si>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</si>
  <si>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</si>
  <si>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</si>
  <si>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</si>
  <si>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</si>
  <si>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</si>
  <si>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 xml:space="preserve">        Datos del Taller</t>
  </si>
  <si>
    <t>Nombre:</t>
  </si>
  <si>
    <t>Técnico Responsable:</t>
  </si>
  <si>
    <t xml:space="preserve">   Datos del Cliente</t>
  </si>
  <si>
    <t>Orden de Servicio (RNN):</t>
  </si>
  <si>
    <t>Número de OS</t>
  </si>
  <si>
    <t>Nombre del Cliente:</t>
  </si>
  <si>
    <t>Lugar de Instalación:</t>
  </si>
  <si>
    <t>Modelo de Evaporadora:</t>
  </si>
  <si>
    <t>Modelo de Condensadora:</t>
  </si>
  <si>
    <t>Nº de Serie - Condensadora:</t>
  </si>
  <si>
    <t xml:space="preserve">         Fotos del Servicio</t>
  </si>
  <si>
    <t>Nº de Serie - Evaporadora:</t>
  </si>
  <si>
    <t xml:space="preserve">(   ) Instalacion Eléctrica </t>
  </si>
  <si>
    <t>Unidad interior (foto amplia)</t>
  </si>
  <si>
    <t>Unidad Exterior (Foto amplia)</t>
  </si>
  <si>
    <t>"Instalación (distancia&gt;=3 metros)
* mostrar interconexiones Evap-Cond"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</si>
</sst>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d/mm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b/>
      <sz val="12"/>
      <color rgb="FFCD0544"/>
      <name val="Calibri"/>
      <family val="2"/>
      <scheme val="minor"/>
    </font>
    <font>
      <sz val="11"/>
      <color rgb="FFCD05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6" fillId="2" borderId="0" xfId="1" applyNumberFormat="1" applyFont="1" applyFill="1" applyAlignment="1" applyProtection="1">
      <alignment horizontal="center" vertical="center"/>
      <protection hidden="1"/>
    </xf>
    <xf numFmtId="164" fontId="6" fillId="2" borderId="0" xfId="1" applyNumberFormat="1" applyFont="1" applyFill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49" fontId="8" fillId="2" borderId="0" xfId="1" applyNumberFormat="1" applyFont="1" applyFill="1" applyProtection="1">
      <protection hidden="1"/>
    </xf>
    <xf numFmtId="164" fontId="8" fillId="2" borderId="0" xfId="1" applyFont="1" applyFill="1" applyAlignment="1" applyProtection="1">
      <alignment horizontal="center" vertical="center"/>
      <protection hidden="1"/>
    </xf>
    <xf numFmtId="49" fontId="7" fillId="2" borderId="0" xfId="0" applyNumberFormat="1" applyFont="1" applyFill="1" applyProtection="1"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4" fontId="8" fillId="2" borderId="0" xfId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7" xfId="0" applyFont="1" applyBorder="1" applyAlignment="1"/>
    <xf numFmtId="0" fontId="13" fillId="0" borderId="0" xfId="0" applyFont="1" applyAlignment="1"/>
    <xf numFmtId="0" fontId="13" fillId="0" borderId="0" xfId="0" applyFont="1" applyBorder="1" applyAlignment="1"/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0" xfId="0" applyFont="1" applyBorder="1" applyAlignment="1" applyProtection="1">
      <alignment horizontal="left" vertical="center"/>
      <protection locked="0"/>
    </xf>
    <xf numFmtId="0" fontId="15" fillId="0" borderId="0" xfId="2" applyFont="1" applyBorder="1" applyAlignment="1" applyProtection="1">
      <alignment vertical="center"/>
      <protection locked="0"/>
    </xf>
    <xf numFmtId="0" fontId="14" fillId="0" borderId="0" xfId="0" applyFont="1" applyBorder="1" applyAlignment="1">
      <alignment vertical="center"/>
    </xf>
    <xf numFmtId="0" fontId="13" fillId="0" borderId="12" xfId="0" applyFont="1" applyBorder="1" applyAlignment="1"/>
    <xf numFmtId="0" fontId="13" fillId="0" borderId="1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20" fillId="2" borderId="0" xfId="0" applyFont="1" applyFill="1" applyAlignment="1" applyProtection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9" fillId="2" borderId="0" xfId="0" applyFont="1" applyFill="1" applyBorder="1" applyAlignment="1" applyProtection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6" xfId="0" applyNumberFormat="1" applyFont="1" applyBorder="1" applyAlignment="1" applyProtection="1">
      <alignment horizontal="center" vertical="center"/>
      <protection locked="0"/>
    </xf>
    <xf numFmtId="0" fontId="13" fillId="0" borderId="18" xfId="0" applyNumberFormat="1" applyFont="1" applyBorder="1" applyAlignment="1" applyProtection="1">
      <alignment horizontal="center" vertical="center"/>
      <protection locked="0"/>
    </xf>
    <xf numFmtId="0" fontId="13" fillId="0" borderId="19" xfId="0" applyNumberFormat="1" applyFont="1" applyBorder="1" applyAlignment="1" applyProtection="1">
      <alignment horizontal="center" vertical="center"/>
      <protection locked="0"/>
    </xf>
    <xf numFmtId="0" fontId="13" fillId="0" borderId="7" xfId="0" applyNumberFormat="1" applyFont="1" applyBorder="1" applyAlignment="1" applyProtection="1">
      <alignment horizontal="center" vertical="center"/>
      <protection locked="0"/>
    </xf>
    <xf numFmtId="0" fontId="13" fillId="0" borderId="8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0" fontId="13" fillId="0" borderId="24" xfId="0" applyFont="1" applyBorder="1" applyAlignment="1" applyProtection="1">
      <alignment horizontal="left" vertical="center"/>
      <protection locked="0"/>
    </xf>
    <xf numFmtId="0" fontId="13" fillId="0" borderId="25" xfId="0" applyFont="1" applyBorder="1" applyAlignment="1" applyProtection="1">
      <alignment horizontal="left" vertical="center"/>
      <protection locked="0"/>
    </xf>
  </cellXfs>
  <cellStyles count="3">
    <cellStyle name="Hyperlink" xfId="2" builtinId="8"/>
    <cellStyle name="Normal" xfId="0" builtinId="0"/>
    <cellStyle name="Normal 10" xfId="1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=""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=""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8400" y="4181475"/>
          <a:ext cx="941925" cy="124777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=""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=""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=""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=""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=""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248400" y="1205441"/>
          <a:ext cx="824442" cy="10329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=""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6</xdr:row>
          <xdr:rowOff>114300</xdr:rowOff>
        </xdr:from>
        <xdr:to>
          <xdr:col>2</xdr:col>
          <xdr:colOff>171450</xdr:colOff>
          <xdr:row>7</xdr:row>
          <xdr:rowOff>95250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247650</xdr:colOff>
          <xdr:row>6</xdr:row>
          <xdr:rowOff>114300</xdr:rowOff>
        </xdr:from>
        <xdr:to>
          <xdr:col>4</xdr:col>
          <xdr:colOff>390525</xdr:colOff>
          <xdr:row>7</xdr:row>
          <xdr:rowOff>95250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=""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19050</xdr:rowOff>
        </xdr:from>
        <xdr:to>
          <xdr:col>2</xdr:col>
          <xdr:colOff>438150</xdr:colOff>
          <xdr:row>10</xdr:row>
          <xdr:rowOff>9525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=""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19050</xdr:rowOff>
        </xdr:from>
        <xdr:to>
          <xdr:col>9</xdr:col>
          <xdr:colOff>438150</xdr:colOff>
          <xdr:row>11</xdr:row>
          <xdr:rowOff>133350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=""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</xdr:row>
          <xdr:rowOff>19050</xdr:rowOff>
        </xdr:from>
        <xdr:to>
          <xdr:col>7</xdr:col>
          <xdr:colOff>161925</xdr:colOff>
          <xdr:row>10</xdr:row>
          <xdr:rowOff>9525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=""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=""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13</xdr:row>
          <xdr:rowOff>133350</xdr:rowOff>
        </xdr:from>
        <xdr:to>
          <xdr:col>2</xdr:col>
          <xdr:colOff>171450</xdr:colOff>
          <xdr:row>14</xdr:row>
          <xdr:rowOff>104775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=""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13</xdr:row>
          <xdr:rowOff>123825</xdr:rowOff>
        </xdr:from>
        <xdr:to>
          <xdr:col>6</xdr:col>
          <xdr:colOff>390525</xdr:colOff>
          <xdr:row>14</xdr:row>
          <xdr:rowOff>95250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=""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=""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16</xdr:row>
          <xdr:rowOff>95250</xdr:rowOff>
        </xdr:from>
        <xdr:to>
          <xdr:col>2</xdr:col>
          <xdr:colOff>438150</xdr:colOff>
          <xdr:row>17</xdr:row>
          <xdr:rowOff>95250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=""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=""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12</xdr:row>
          <xdr:rowOff>133350</xdr:rowOff>
        </xdr:from>
        <xdr:to>
          <xdr:col>9</xdr:col>
          <xdr:colOff>438150</xdr:colOff>
          <xdr:row>20</xdr:row>
          <xdr:rowOff>57150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=""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=""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16</xdr:row>
          <xdr:rowOff>95250</xdr:rowOff>
        </xdr:from>
        <xdr:to>
          <xdr:col>7</xdr:col>
          <xdr:colOff>161925</xdr:colOff>
          <xdr:row>17</xdr:row>
          <xdr:rowOff>85725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=""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=""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47625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=""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=""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21</xdr:row>
          <xdr:rowOff>66675</xdr:rowOff>
        </xdr:from>
        <xdr:to>
          <xdr:col>9</xdr:col>
          <xdr:colOff>438150</xdr:colOff>
          <xdr:row>28</xdr:row>
          <xdr:rowOff>123825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=""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0</xdr:rowOff>
        </xdr:from>
        <xdr:to>
          <xdr:col>15</xdr:col>
          <xdr:colOff>85725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=""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333375</xdr:colOff>
          <xdr:row>6</xdr:row>
          <xdr:rowOff>0</xdr:rowOff>
        </xdr:from>
        <xdr:to>
          <xdr:col>15</xdr:col>
          <xdr:colOff>95250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=""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319617</xdr:colOff>
      <xdr:row>12</xdr:row>
      <xdr:rowOff>110067</xdr:rowOff>
    </xdr:from>
    <xdr:to>
      <xdr:col>15</xdr:col>
      <xdr:colOff>333375</xdr:colOff>
      <xdr:row>25</xdr:row>
      <xdr:rowOff>1588</xdr:rowOff>
    </xdr:to>
    <xdr:grpSp>
      <xdr:nvGrpSpPr>
        <xdr:cNvPr id="14" name="Grupo 8"/>
        <xdr:cNvGrpSpPr/>
      </xdr:nvGrpSpPr>
      <xdr:grpSpPr>
        <a:xfrm>
          <a:off x="319617" y="2300817"/>
          <a:ext cx="7900458" cy="2301346"/>
          <a:chOff x="397080" y="8206227"/>
          <a:chExt cx="8220074" cy="1413711"/>
        </a:xfrm>
      </xdr:grpSpPr>
      <xdr:cxnSp macro="">
        <xdr:nvCxnSpPr>
          <xdr:cNvPr id="15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428623</xdr:colOff>
      <xdr:row>0</xdr:row>
      <xdr:rowOff>3171</xdr:rowOff>
    </xdr:from>
    <xdr:to>
      <xdr:col>15</xdr:col>
      <xdr:colOff>447675</xdr:colOff>
      <xdr:row>6</xdr:row>
      <xdr:rowOff>1583</xdr:rowOff>
    </xdr:to>
    <xdr:grpSp>
      <xdr:nvGrpSpPr>
        <xdr:cNvPr id="2" name="Grupo 1"/>
        <xdr:cNvGrpSpPr/>
      </xdr:nvGrpSpPr>
      <xdr:grpSpPr>
        <a:xfrm>
          <a:off x="428623" y="3171"/>
          <a:ext cx="7905752" cy="1131887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=""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=""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3829049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 RAC</a:t>
            </a:r>
          </a:p>
        </xdr:txBody>
      </xdr:sp>
      <xdr:pic>
        <xdr:nvPicPr>
          <xdr:cNvPr id="22" name="Imagem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305327</xdr:colOff>
      <xdr:row>6</xdr:row>
      <xdr:rowOff>95789</xdr:rowOff>
    </xdr:from>
    <xdr:to>
      <xdr:col>15</xdr:col>
      <xdr:colOff>314325</xdr:colOff>
      <xdr:row>10</xdr:row>
      <xdr:rowOff>174628</xdr:rowOff>
    </xdr:to>
    <xdr:grpSp>
      <xdr:nvGrpSpPr>
        <xdr:cNvPr id="23" name="Grupo 8"/>
        <xdr:cNvGrpSpPr/>
      </xdr:nvGrpSpPr>
      <xdr:grpSpPr>
        <a:xfrm>
          <a:off x="305327" y="1229264"/>
          <a:ext cx="7895698" cy="850364"/>
          <a:chOff x="397080" y="8206227"/>
          <a:chExt cx="8220074" cy="1413711"/>
        </a:xfrm>
      </xdr:grpSpPr>
      <xdr:cxnSp macro="">
        <xdr:nvCxnSpPr>
          <xdr:cNvPr id="24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352425</xdr:colOff>
      <xdr:row>64</xdr:row>
      <xdr:rowOff>150813</xdr:rowOff>
    </xdr:to>
    <xdr:grpSp>
      <xdr:nvGrpSpPr>
        <xdr:cNvPr id="29" name="Grupo 8"/>
        <xdr:cNvGrpSpPr/>
      </xdr:nvGrpSpPr>
      <xdr:grpSpPr>
        <a:xfrm>
          <a:off x="321205" y="4837642"/>
          <a:ext cx="7917920" cy="7971896"/>
          <a:chOff x="397080" y="8206227"/>
          <a:chExt cx="8220074" cy="1413711"/>
        </a:xfrm>
      </xdr:grpSpPr>
      <xdr:cxnSp macro="">
        <xdr:nvCxnSpPr>
          <xdr:cNvPr id="30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:I47"/>
  <sheetViews>
    <sheetView workbookViewId="0">
      <selection activeCell="B11" sqref="B11:E11"/>
    </sheetView>
  </sheetViews>
  <sheetFormatPr defaultColWidth="9.28515625" defaultRowHeight="15" x14ac:dyDescent="0.25"/>
  <cols>
    <col min="1" max="1" width="35" style="1" customWidth="1"/>
    <col min="2" max="2" width="32.140625" style="1" bestFit="1" customWidth="1"/>
    <col min="3" max="3" width="25.140625" style="1" bestFit="1" customWidth="1"/>
    <col min="4" max="16384" width="9.28515625" style="1"/>
  </cols>
  <sheetData>
    <row r="1" spans="1:3" ht="18.75" x14ac:dyDescent="0.3">
      <c r="A1" s="63" t="s">
        <v>0</v>
      </c>
      <c r="B1" s="63"/>
      <c r="C1" s="63"/>
    </row>
    <row r="3" spans="1:3" x14ac:dyDescent="0.25">
      <c r="A3" s="1" t="s">
        <v>14</v>
      </c>
    </row>
    <row r="5" spans="1:3" x14ac:dyDescent="0.25">
      <c r="A5" s="2" t="s">
        <v>16</v>
      </c>
      <c r="B5" s="65" t="s">
        <v>17</v>
      </c>
      <c r="C5" s="66"/>
    </row>
    <row r="6" spans="1:3" x14ac:dyDescent="0.25">
      <c r="A6" s="65" t="s">
        <v>18</v>
      </c>
      <c r="B6" s="68"/>
      <c r="C6" s="66"/>
    </row>
    <row r="7" spans="1:3" x14ac:dyDescent="0.25">
      <c r="A7" s="65" t="s">
        <v>19</v>
      </c>
      <c r="B7" s="68"/>
      <c r="C7" s="66"/>
    </row>
    <row r="9" spans="1:3" x14ac:dyDescent="0.25">
      <c r="A9" s="67" t="s">
        <v>15</v>
      </c>
      <c r="B9" s="67"/>
      <c r="C9" s="67"/>
    </row>
    <row r="10" spans="1:3" x14ac:dyDescent="0.25">
      <c r="A10" s="65" t="s">
        <v>1</v>
      </c>
      <c r="B10" s="66"/>
      <c r="C10" s="2" t="s">
        <v>2</v>
      </c>
    </row>
    <row r="11" spans="1:3" x14ac:dyDescent="0.25">
      <c r="A11" s="65" t="s">
        <v>3</v>
      </c>
      <c r="B11" s="66"/>
      <c r="C11" s="2" t="s">
        <v>4</v>
      </c>
    </row>
    <row r="12" spans="1:3" x14ac:dyDescent="0.25">
      <c r="A12" s="65" t="s">
        <v>5</v>
      </c>
      <c r="B12" s="66"/>
      <c r="C12" s="2"/>
    </row>
    <row r="14" spans="1:3" x14ac:dyDescent="0.25">
      <c r="A14" s="64" t="s">
        <v>507</v>
      </c>
      <c r="B14" s="64"/>
      <c r="C14" s="64"/>
    </row>
    <row r="15" spans="1:3" x14ac:dyDescent="0.25">
      <c r="A15" s="69" t="s">
        <v>7</v>
      </c>
      <c r="B15" s="69"/>
      <c r="C15" s="69"/>
    </row>
    <row r="16" spans="1:3" x14ac:dyDescent="0.25">
      <c r="A16" s="70" t="s">
        <v>6</v>
      </c>
      <c r="B16" s="70"/>
      <c r="C16" s="70"/>
    </row>
    <row r="17" spans="1:9" x14ac:dyDescent="0.25">
      <c r="A17" s="69" t="s">
        <v>8</v>
      </c>
      <c r="B17" s="69"/>
      <c r="C17" s="69"/>
      <c r="I17" s="1" t="s">
        <v>508</v>
      </c>
    </row>
    <row r="18" spans="1:9" x14ac:dyDescent="0.25">
      <c r="A18" s="69" t="s">
        <v>9</v>
      </c>
      <c r="B18" s="69"/>
      <c r="C18" s="69"/>
    </row>
    <row r="19" spans="1:9" x14ac:dyDescent="0.25">
      <c r="A19" s="70" t="s">
        <v>20</v>
      </c>
      <c r="B19" s="70"/>
      <c r="C19" s="70"/>
    </row>
    <row r="20" spans="1:9" x14ac:dyDescent="0.25">
      <c r="A20" s="70" t="s">
        <v>10</v>
      </c>
      <c r="B20" s="70"/>
      <c r="C20" s="70"/>
    </row>
    <row r="21" spans="1:9" x14ac:dyDescent="0.25">
      <c r="A21" s="70" t="s">
        <v>11</v>
      </c>
      <c r="B21" s="70"/>
      <c r="C21" s="70"/>
    </row>
    <row r="22" spans="1:9" x14ac:dyDescent="0.25">
      <c r="A22" s="69" t="s">
        <v>12</v>
      </c>
      <c r="B22" s="69"/>
      <c r="C22" s="69"/>
    </row>
    <row r="23" spans="1:9" x14ac:dyDescent="0.25">
      <c r="A23" s="70" t="s">
        <v>13</v>
      </c>
      <c r="B23" s="70"/>
      <c r="C23" s="70"/>
    </row>
    <row r="24" spans="1:9" x14ac:dyDescent="0.25">
      <c r="A24" s="3"/>
      <c r="B24" s="3"/>
      <c r="C24" s="3"/>
    </row>
    <row r="25" spans="1:9" x14ac:dyDescent="0.25">
      <c r="B25" s="4" t="s">
        <v>509</v>
      </c>
    </row>
    <row r="26" spans="1:9" x14ac:dyDescent="0.25">
      <c r="A26" s="69" t="s">
        <v>510</v>
      </c>
      <c r="B26" s="69"/>
      <c r="C26" s="69"/>
    </row>
    <row r="27" spans="1:9" x14ac:dyDescent="0.25">
      <c r="A27" s="69" t="s">
        <v>511</v>
      </c>
      <c r="B27" s="69"/>
      <c r="C27" s="69"/>
    </row>
    <row r="28" spans="1:9" x14ac:dyDescent="0.25">
      <c r="A28" s="69" t="s">
        <v>512</v>
      </c>
      <c r="B28" s="69"/>
      <c r="C28" s="69"/>
    </row>
    <row r="29" spans="1:9" x14ac:dyDescent="0.25">
      <c r="A29" s="70" t="s">
        <v>513</v>
      </c>
      <c r="B29" s="70"/>
      <c r="C29" s="70"/>
    </row>
    <row r="30" spans="1:9" x14ac:dyDescent="0.25">
      <c r="A30" s="70" t="s">
        <v>514</v>
      </c>
      <c r="B30" s="70"/>
      <c r="C30" s="70"/>
    </row>
    <row r="31" spans="1:9" x14ac:dyDescent="0.25">
      <c r="A31" s="69" t="s">
        <v>515</v>
      </c>
      <c r="B31" s="69"/>
      <c r="C31" s="69"/>
    </row>
    <row r="32" spans="1:9" x14ac:dyDescent="0.25">
      <c r="A32" s="3"/>
      <c r="B32" s="3"/>
      <c r="C32" s="3"/>
    </row>
    <row r="33" spans="1:3" x14ac:dyDescent="0.25">
      <c r="B33" s="4" t="s">
        <v>516</v>
      </c>
    </row>
    <row r="34" spans="1:3" x14ac:dyDescent="0.25">
      <c r="A34" s="69" t="s">
        <v>510</v>
      </c>
      <c r="B34" s="69"/>
      <c r="C34" s="69"/>
    </row>
    <row r="35" spans="1:3" x14ac:dyDescent="0.25">
      <c r="A35" s="69" t="s">
        <v>511</v>
      </c>
      <c r="B35" s="69"/>
      <c r="C35" s="69"/>
    </row>
    <row r="36" spans="1:3" x14ac:dyDescent="0.25">
      <c r="A36" s="69" t="s">
        <v>512</v>
      </c>
      <c r="B36" s="69"/>
      <c r="C36" s="69"/>
    </row>
    <row r="37" spans="1:3" x14ac:dyDescent="0.25">
      <c r="A37" s="70" t="s">
        <v>517</v>
      </c>
      <c r="B37" s="70"/>
      <c r="C37" s="70"/>
    </row>
    <row r="38" spans="1:3" x14ac:dyDescent="0.25">
      <c r="A38" s="69" t="s">
        <v>518</v>
      </c>
      <c r="B38" s="69"/>
      <c r="C38" s="69"/>
    </row>
    <row r="39" spans="1:3" x14ac:dyDescent="0.25">
      <c r="A39" s="70" t="s">
        <v>519</v>
      </c>
      <c r="B39" s="70"/>
      <c r="C39" s="70"/>
    </row>
    <row r="40" spans="1:3" x14ac:dyDescent="0.25">
      <c r="A40" s="3"/>
      <c r="B40" s="3"/>
      <c r="C40" s="3"/>
    </row>
    <row r="41" spans="1:3" x14ac:dyDescent="0.25">
      <c r="B41" s="4" t="s">
        <v>520</v>
      </c>
    </row>
    <row r="42" spans="1:3" x14ac:dyDescent="0.25">
      <c r="A42" s="69" t="s">
        <v>7</v>
      </c>
      <c r="B42" s="69"/>
      <c r="C42" s="69"/>
    </row>
    <row r="43" spans="1:3" x14ac:dyDescent="0.25">
      <c r="A43" s="69" t="s">
        <v>511</v>
      </c>
      <c r="B43" s="69"/>
      <c r="C43" s="69"/>
    </row>
    <row r="44" spans="1:3" x14ac:dyDescent="0.25">
      <c r="A44" s="69" t="s">
        <v>512</v>
      </c>
      <c r="B44" s="69"/>
      <c r="C44" s="69"/>
    </row>
    <row r="45" spans="1:3" x14ac:dyDescent="0.25">
      <c r="A45" s="70" t="s">
        <v>521</v>
      </c>
      <c r="B45" s="70"/>
      <c r="C45" s="70"/>
    </row>
    <row r="46" spans="1:3" x14ac:dyDescent="0.25">
      <c r="A46" s="70" t="s">
        <v>522</v>
      </c>
      <c r="B46" s="70"/>
      <c r="C46" s="70"/>
    </row>
    <row r="47" spans="1:3" x14ac:dyDescent="0.25">
      <c r="A47" s="69" t="s">
        <v>523</v>
      </c>
      <c r="B47" s="69"/>
      <c r="C47" s="69"/>
    </row>
  </sheetData>
  <mergeCells count="36">
    <mergeCell ref="A46:C46"/>
    <mergeCell ref="A47:C47"/>
    <mergeCell ref="A39:C39"/>
    <mergeCell ref="A42:C42"/>
    <mergeCell ref="A43:C43"/>
    <mergeCell ref="A44:C44"/>
    <mergeCell ref="A45:C45"/>
    <mergeCell ref="A20:C20"/>
    <mergeCell ref="A15:C15"/>
    <mergeCell ref="A16:C16"/>
    <mergeCell ref="A17:C17"/>
    <mergeCell ref="A18:C18"/>
    <mergeCell ref="A19:C19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1:C1"/>
    <mergeCell ref="A14:C14"/>
    <mergeCell ref="A10:B10"/>
    <mergeCell ref="A11:B11"/>
    <mergeCell ref="A12:B12"/>
    <mergeCell ref="A9:C9"/>
    <mergeCell ref="B5:C5"/>
    <mergeCell ref="A6:C6"/>
    <mergeCell ref="A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6</xdr:row>
                    <xdr:rowOff>114300</xdr:rowOff>
                  </from>
                  <to>
                    <xdr:col>2</xdr:col>
                    <xdr:colOff>171450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247650</xdr:colOff>
                    <xdr:row>6</xdr:row>
                    <xdr:rowOff>114300</xdr:rowOff>
                  </from>
                  <to>
                    <xdr:col>4</xdr:col>
                    <xdr:colOff>390525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2</xdr:col>
                    <xdr:colOff>438150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19050</xdr:rowOff>
                  </from>
                  <to>
                    <xdr:col>9</xdr:col>
                    <xdr:colOff>438150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9</xdr:row>
                    <xdr:rowOff>19050</xdr:rowOff>
                  </from>
                  <to>
                    <xdr:col>7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13</xdr:row>
                    <xdr:rowOff>133350</xdr:rowOff>
                  </from>
                  <to>
                    <xdr:col>2</xdr:col>
                    <xdr:colOff>171450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13</xdr:row>
                    <xdr:rowOff>123825</xdr:rowOff>
                  </from>
                  <to>
                    <xdr:col>6</xdr:col>
                    <xdr:colOff>390525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16</xdr:row>
                    <xdr:rowOff>95250</xdr:rowOff>
                  </from>
                  <to>
                    <xdr:col>2</xdr:col>
                    <xdr:colOff>438150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12</xdr:row>
                    <xdr:rowOff>133350</xdr:rowOff>
                  </from>
                  <to>
                    <xdr:col>9</xdr:col>
                    <xdr:colOff>438150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16</xdr:row>
                    <xdr:rowOff>95250</xdr:rowOff>
                  </from>
                  <to>
                    <xdr:col>7</xdr:col>
                    <xdr:colOff>161925</xdr:colOff>
                    <xdr:row>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47625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323850</xdr:colOff>
                    <xdr:row>21</xdr:row>
                    <xdr:rowOff>66675</xdr:rowOff>
                  </from>
                  <to>
                    <xdr:col>9</xdr:col>
                    <xdr:colOff>438150</xdr:colOff>
                    <xdr:row>28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H84"/>
  <sheetViews>
    <sheetView workbookViewId="0">
      <selection activeCell="A17" sqref="A17"/>
    </sheetView>
  </sheetViews>
  <sheetFormatPr defaultColWidth="9.140625" defaultRowHeight="15" x14ac:dyDescent="0.25"/>
  <cols>
    <col min="1" max="1" width="15.85546875" style="8" bestFit="1" customWidth="1"/>
    <col min="2" max="2" width="19" style="8" bestFit="1" customWidth="1"/>
    <col min="3" max="3" width="19.7109375" style="8" bestFit="1" customWidth="1"/>
    <col min="4" max="4" width="13.28515625" style="8" bestFit="1" customWidth="1"/>
    <col min="5" max="5" width="38.5703125" style="8" bestFit="1" customWidth="1"/>
    <col min="6" max="6" width="9.7109375" style="8" customWidth="1"/>
    <col min="7" max="7" width="20.140625" style="8" bestFit="1" customWidth="1"/>
    <col min="8" max="8" width="63.42578125" style="8" bestFit="1" customWidth="1"/>
    <col min="9" max="16384" width="9.140625" style="8"/>
  </cols>
  <sheetData>
    <row r="1" spans="2:8" x14ac:dyDescent="0.25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30" x14ac:dyDescent="0.25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9" t="s">
        <v>536</v>
      </c>
    </row>
    <row r="3" spans="2:8" ht="30" x14ac:dyDescent="0.25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9" t="s">
        <v>1101</v>
      </c>
    </row>
    <row r="4" spans="2:8" ht="30" x14ac:dyDescent="0.25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9" t="s">
        <v>537</v>
      </c>
    </row>
    <row r="5" spans="2:8" ht="30" x14ac:dyDescent="0.25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9" t="s">
        <v>538</v>
      </c>
    </row>
    <row r="6" spans="2:8" ht="30" x14ac:dyDescent="0.25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9" t="s">
        <v>539</v>
      </c>
    </row>
    <row r="7" spans="2:8" ht="30" x14ac:dyDescent="0.25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9" t="s">
        <v>535</v>
      </c>
    </row>
    <row r="8" spans="2:8" ht="30" x14ac:dyDescent="0.25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9" t="s">
        <v>540</v>
      </c>
    </row>
    <row r="9" spans="2:8" ht="45" x14ac:dyDescent="0.25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9" t="s">
        <v>541</v>
      </c>
    </row>
    <row r="10" spans="2:8" x14ac:dyDescent="0.25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25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25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25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25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25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25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25">
      <c r="G18" s="8" t="s">
        <v>545</v>
      </c>
    </row>
    <row r="19" spans="6:8" ht="30" x14ac:dyDescent="0.25">
      <c r="F19" s="8">
        <v>1</v>
      </c>
      <c r="G19" s="8" t="str">
        <f>IF(AND(H19="",G20=""),"",$G$18&amp;F19)</f>
        <v>PLACA - PCB1</v>
      </c>
      <c r="H19" s="9" t="s">
        <v>536</v>
      </c>
    </row>
    <row r="20" spans="6:8" ht="30" x14ac:dyDescent="0.25">
      <c r="F20" s="8">
        <v>2</v>
      </c>
      <c r="G20" s="8" t="str">
        <f t="shared" ref="G20:G33" si="2">IF(AND(H20="",G21=""),"",$G$18&amp;F20)</f>
        <v>PLACA - PCB2</v>
      </c>
      <c r="H20" s="9" t="s">
        <v>537</v>
      </c>
    </row>
    <row r="21" spans="6:8" ht="30" x14ac:dyDescent="0.25">
      <c r="F21" s="8">
        <v>3</v>
      </c>
      <c r="G21" s="8" t="str">
        <f t="shared" si="2"/>
        <v>PLACA - PCB3</v>
      </c>
      <c r="H21" s="9" t="s">
        <v>539</v>
      </c>
    </row>
    <row r="22" spans="6:8" ht="30" x14ac:dyDescent="0.25">
      <c r="F22" s="8">
        <v>4</v>
      </c>
      <c r="G22" s="8" t="str">
        <f>IF(AND(H22="",G23=""),"",$G$18&amp;F22)</f>
        <v>PLACA - PCB4</v>
      </c>
      <c r="H22" s="9" t="s">
        <v>535</v>
      </c>
    </row>
    <row r="23" spans="6:8" ht="30" x14ac:dyDescent="0.25">
      <c r="F23" s="8">
        <v>5</v>
      </c>
      <c r="G23" s="8" t="str">
        <f>IF(AND(H23="",G24=""),"",$G$18&amp;F23)</f>
        <v>PLACA - PCB5</v>
      </c>
      <c r="H23" s="9" t="s">
        <v>542</v>
      </c>
    </row>
    <row r="24" spans="6:8" ht="30" x14ac:dyDescent="0.25">
      <c r="F24" s="8">
        <v>6</v>
      </c>
      <c r="G24" s="8" t="str">
        <f>IF(AND(H24="",G25=""),"",$G$18&amp;F24)</f>
        <v>PLACA - PCB6</v>
      </c>
      <c r="H24" s="9" t="s">
        <v>543</v>
      </c>
    </row>
    <row r="25" spans="6:8" x14ac:dyDescent="0.25">
      <c r="F25" s="8">
        <v>7</v>
      </c>
      <c r="G25" s="8" t="str">
        <f t="shared" si="2"/>
        <v/>
      </c>
    </row>
    <row r="26" spans="6:8" x14ac:dyDescent="0.25">
      <c r="F26" s="8">
        <v>8</v>
      </c>
      <c r="G26" s="8" t="str">
        <f t="shared" si="2"/>
        <v/>
      </c>
    </row>
    <row r="27" spans="6:8" x14ac:dyDescent="0.25">
      <c r="F27" s="8">
        <v>9</v>
      </c>
      <c r="G27" s="8" t="str">
        <f t="shared" si="2"/>
        <v/>
      </c>
    </row>
    <row r="28" spans="6:8" x14ac:dyDescent="0.25">
      <c r="F28" s="8">
        <v>10</v>
      </c>
      <c r="G28" s="8" t="str">
        <f t="shared" si="2"/>
        <v/>
      </c>
    </row>
    <row r="29" spans="6:8" x14ac:dyDescent="0.25">
      <c r="F29" s="8">
        <v>11</v>
      </c>
      <c r="G29" s="8" t="str">
        <f t="shared" si="2"/>
        <v/>
      </c>
    </row>
    <row r="30" spans="6:8" x14ac:dyDescent="0.25">
      <c r="F30" s="8">
        <v>12</v>
      </c>
      <c r="G30" s="8" t="str">
        <f t="shared" si="2"/>
        <v/>
      </c>
    </row>
    <row r="31" spans="6:8" x14ac:dyDescent="0.25">
      <c r="F31" s="8">
        <v>13</v>
      </c>
      <c r="G31" s="8" t="str">
        <f t="shared" si="2"/>
        <v/>
      </c>
    </row>
    <row r="32" spans="6:8" x14ac:dyDescent="0.25">
      <c r="F32" s="8">
        <v>14</v>
      </c>
      <c r="G32" s="8" t="str">
        <f t="shared" si="2"/>
        <v/>
      </c>
    </row>
    <row r="33" spans="6:8" x14ac:dyDescent="0.25">
      <c r="F33" s="8">
        <v>15</v>
      </c>
      <c r="G33" s="8" t="str">
        <f t="shared" si="2"/>
        <v/>
      </c>
    </row>
    <row r="35" spans="6:8" x14ac:dyDescent="0.25">
      <c r="G35" s="8" t="s">
        <v>529</v>
      </c>
    </row>
    <row r="36" spans="6:8" x14ac:dyDescent="0.25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5" x14ac:dyDescent="0.25">
      <c r="F37" s="8">
        <v>2</v>
      </c>
      <c r="G37" s="8" t="str">
        <f t="shared" ref="G37:G50" si="3">IF(AND(H37="",G38=""),"",$G$35&amp;F37)</f>
        <v>SERPENTINA2</v>
      </c>
      <c r="H37" s="9" t="s">
        <v>1102</v>
      </c>
    </row>
    <row r="38" spans="6:8" ht="30" x14ac:dyDescent="0.25">
      <c r="F38" s="8">
        <v>3</v>
      </c>
      <c r="G38" s="8" t="str">
        <f t="shared" si="3"/>
        <v>SERPENTINA3</v>
      </c>
      <c r="H38" s="9" t="s">
        <v>1105</v>
      </c>
    </row>
    <row r="39" spans="6:8" ht="30" x14ac:dyDescent="0.25">
      <c r="F39" s="8">
        <v>4</v>
      </c>
      <c r="G39" s="8" t="str">
        <f t="shared" si="3"/>
        <v>SERPENTINA4</v>
      </c>
      <c r="H39" s="9" t="s">
        <v>1104</v>
      </c>
    </row>
    <row r="40" spans="6:8" x14ac:dyDescent="0.25">
      <c r="F40" s="8">
        <v>5</v>
      </c>
      <c r="G40" s="8" t="str">
        <f t="shared" si="3"/>
        <v>SERPENTINA5</v>
      </c>
      <c r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41" s="8" t="s">
        <v>1103</v>
      </c>
    </row>
    <row r="42" spans="6:8" x14ac:dyDescent="0.25">
      <c r="F42" s="8">
        <v>7</v>
      </c>
      <c r="G42" s="8" t="str">
        <f t="shared" si="3"/>
        <v/>
      </c>
    </row>
    <row r="43" spans="6:8" x14ac:dyDescent="0.25">
      <c r="F43" s="8">
        <v>8</v>
      </c>
      <c r="G43" s="8" t="str">
        <f t="shared" si="3"/>
        <v/>
      </c>
    </row>
    <row r="44" spans="6:8" x14ac:dyDescent="0.25">
      <c r="F44" s="8">
        <v>9</v>
      </c>
      <c r="G44" s="8" t="str">
        <f t="shared" si="3"/>
        <v/>
      </c>
    </row>
    <row r="45" spans="6:8" x14ac:dyDescent="0.25">
      <c r="F45" s="8">
        <v>10</v>
      </c>
      <c r="G45" s="8" t="str">
        <f t="shared" si="3"/>
        <v/>
      </c>
    </row>
    <row r="46" spans="6:8" x14ac:dyDescent="0.25">
      <c r="F46" s="8">
        <v>11</v>
      </c>
      <c r="G46" s="8" t="str">
        <f t="shared" si="3"/>
        <v/>
      </c>
    </row>
    <row r="47" spans="6:8" x14ac:dyDescent="0.25">
      <c r="F47" s="8">
        <v>12</v>
      </c>
      <c r="G47" s="8" t="str">
        <f t="shared" si="3"/>
        <v/>
      </c>
    </row>
    <row r="48" spans="6:8" x14ac:dyDescent="0.25">
      <c r="F48" s="8">
        <v>13</v>
      </c>
      <c r="G48" s="8" t="str">
        <f t="shared" si="3"/>
        <v/>
      </c>
    </row>
    <row r="49" spans="6:8" x14ac:dyDescent="0.25">
      <c r="F49" s="8">
        <v>14</v>
      </c>
      <c r="G49" s="8" t="str">
        <f t="shared" si="3"/>
        <v/>
      </c>
    </row>
    <row r="50" spans="6:8" x14ac:dyDescent="0.25">
      <c r="F50" s="8">
        <v>15</v>
      </c>
      <c r="G50" s="8" t="str">
        <f t="shared" si="3"/>
        <v/>
      </c>
    </row>
    <row r="52" spans="6:8" x14ac:dyDescent="0.25">
      <c r="G52" s="8" t="s">
        <v>528</v>
      </c>
    </row>
    <row r="53" spans="6:8" ht="30" x14ac:dyDescent="0.25">
      <c r="F53" s="8">
        <v>1</v>
      </c>
      <c r="G53" s="8" t="str">
        <f>IF(AND(H53="",G54=""),"",$G$52&amp;F53)</f>
        <v>MOTOR1</v>
      </c>
      <c r="H53" s="9" t="s">
        <v>536</v>
      </c>
    </row>
    <row r="54" spans="6:8" ht="30" x14ac:dyDescent="0.25">
      <c r="F54" s="8">
        <v>2</v>
      </c>
      <c r="G54" s="8" t="str">
        <f>IF(AND(H54="",G55=""),"",$G$52&amp;F54)</f>
        <v>MOTOR2</v>
      </c>
      <c r="H54" s="9" t="s">
        <v>1104</v>
      </c>
    </row>
    <row r="55" spans="6:8" ht="30" x14ac:dyDescent="0.25">
      <c r="F55" s="8">
        <v>3</v>
      </c>
      <c r="G55" s="8" t="str">
        <f t="shared" ref="G55:G67" si="4">IF(AND(H55="",G56=""),"",$G$52&amp;F55)</f>
        <v>MOTOR3</v>
      </c>
      <c r="H55" s="9" t="s">
        <v>1105</v>
      </c>
    </row>
    <row r="56" spans="6:8" ht="30" x14ac:dyDescent="0.25">
      <c r="F56" s="8">
        <v>4</v>
      </c>
      <c r="G56" s="8" t="str">
        <f t="shared" si="4"/>
        <v>MOTOR4</v>
      </c>
      <c r="H56" s="9" t="s">
        <v>535</v>
      </c>
    </row>
    <row r="57" spans="6:8" x14ac:dyDescent="0.25">
      <c r="F57" s="8">
        <v>5</v>
      </c>
      <c r="G57" s="8" t="str">
        <f t="shared" si="4"/>
        <v>MOTOR5</v>
      </c>
      <c r="H57" s="8" t="s">
        <v>533</v>
      </c>
    </row>
    <row r="58" spans="6:8" ht="30" x14ac:dyDescent="0.25">
      <c r="F58" s="8">
        <v>6</v>
      </c>
      <c r="G58" s="8" t="str">
        <f t="shared" si="4"/>
        <v>MOTOR6</v>
      </c>
      <c r="H58" s="9" t="s">
        <v>534</v>
      </c>
    </row>
    <row r="59" spans="6:8" x14ac:dyDescent="0.25">
      <c r="F59" s="8">
        <v>7</v>
      </c>
      <c r="G59" s="8" t="str">
        <f t="shared" si="4"/>
        <v/>
      </c>
    </row>
    <row r="60" spans="6:8" x14ac:dyDescent="0.25">
      <c r="F60" s="8">
        <v>8</v>
      </c>
      <c r="G60" s="8" t="str">
        <f t="shared" si="4"/>
        <v/>
      </c>
    </row>
    <row r="61" spans="6:8" x14ac:dyDescent="0.25">
      <c r="F61" s="8">
        <v>9</v>
      </c>
      <c r="G61" s="8" t="str">
        <f t="shared" si="4"/>
        <v/>
      </c>
    </row>
    <row r="62" spans="6:8" x14ac:dyDescent="0.25">
      <c r="F62" s="8">
        <v>10</v>
      </c>
      <c r="G62" s="8" t="str">
        <f t="shared" si="4"/>
        <v/>
      </c>
    </row>
    <row r="63" spans="6:8" x14ac:dyDescent="0.25">
      <c r="F63" s="8">
        <v>11</v>
      </c>
      <c r="G63" s="8" t="str">
        <f t="shared" si="4"/>
        <v/>
      </c>
    </row>
    <row r="64" spans="6:8" x14ac:dyDescent="0.25">
      <c r="F64" s="8">
        <v>12</v>
      </c>
      <c r="G64" s="8" t="str">
        <f t="shared" si="4"/>
        <v/>
      </c>
    </row>
    <row r="65" spans="6:8" x14ac:dyDescent="0.25">
      <c r="F65" s="8">
        <v>13</v>
      </c>
      <c r="G65" s="8" t="str">
        <f t="shared" si="4"/>
        <v/>
      </c>
    </row>
    <row r="66" spans="6:8" x14ac:dyDescent="0.25">
      <c r="F66" s="8">
        <v>14</v>
      </c>
      <c r="G66" s="8" t="str">
        <f t="shared" si="4"/>
        <v/>
      </c>
    </row>
    <row r="67" spans="6:8" x14ac:dyDescent="0.25">
      <c r="F67" s="8">
        <v>15</v>
      </c>
      <c r="G67" s="8" t="str">
        <f t="shared" si="4"/>
        <v/>
      </c>
    </row>
    <row r="69" spans="6:8" x14ac:dyDescent="0.25">
      <c r="G69" s="8" t="s">
        <v>1107</v>
      </c>
    </row>
    <row r="70" spans="6:8" ht="30" x14ac:dyDescent="0.25">
      <c r="F70" s="8">
        <v>1</v>
      </c>
      <c r="G70" s="8" t="str">
        <f t="shared" ref="G70:G75" si="5">IF(AND(H70="",G71=""),"",$G$69&amp;F70)</f>
        <v>TROCA DE PRODUTO1</v>
      </c>
      <c r="H70" s="9" t="s">
        <v>1108</v>
      </c>
    </row>
    <row r="71" spans="6:8" ht="30" x14ac:dyDescent="0.25">
      <c r="F71" s="8">
        <v>2</v>
      </c>
      <c r="G71" s="8" t="str">
        <f t="shared" si="5"/>
        <v>TROCA DE PRODUTO2</v>
      </c>
      <c r="H71" s="9" t="s">
        <v>1109</v>
      </c>
    </row>
    <row r="72" spans="6:8" ht="30" x14ac:dyDescent="0.25">
      <c r="F72" s="8">
        <v>3</v>
      </c>
      <c r="G72" s="8" t="str">
        <f t="shared" si="5"/>
        <v>TROCA DE PRODUTO3</v>
      </c>
      <c r="H72" s="9" t="s">
        <v>1110</v>
      </c>
    </row>
    <row r="73" spans="6:8" ht="30" x14ac:dyDescent="0.25">
      <c r="F73" s="8">
        <v>4</v>
      </c>
      <c r="G73" s="8" t="str">
        <f t="shared" si="5"/>
        <v>TROCA DE PRODUTO4</v>
      </c>
      <c r="H73" s="9" t="s">
        <v>1111</v>
      </c>
    </row>
    <row r="74" spans="6:8" ht="30" x14ac:dyDescent="0.25">
      <c r="F74" s="8">
        <v>5</v>
      </c>
      <c r="G74" s="8" t="str">
        <f t="shared" si="5"/>
        <v>TROCA DE PRODUTO5</v>
      </c>
      <c r="H74" s="9" t="s">
        <v>1112</v>
      </c>
    </row>
    <row r="75" spans="6:8" ht="30" x14ac:dyDescent="0.25">
      <c r="F75" s="8">
        <v>6</v>
      </c>
      <c r="G75" s="8" t="str">
        <f t="shared" si="5"/>
        <v>TROCA DE PRODUTO6</v>
      </c>
      <c r="H75" s="9" t="s">
        <v>1113</v>
      </c>
    </row>
    <row r="76" spans="6:8" ht="30" x14ac:dyDescent="0.25">
      <c r="F76" s="8">
        <v>7</v>
      </c>
      <c r="G76" s="8" t="str">
        <f t="shared" ref="G76:G84" si="6">IF(AND(H76="",G77=""),"",$G$69&amp;F76)</f>
        <v>TROCA DE PRODUTO7</v>
      </c>
      <c r="H76" s="9" t="s">
        <v>1115</v>
      </c>
    </row>
    <row r="77" spans="6:8" ht="30" x14ac:dyDescent="0.25">
      <c r="F77" s="8">
        <v>8</v>
      </c>
      <c r="G77" s="8" t="str">
        <f t="shared" si="6"/>
        <v>TROCA DE PRODUTO8</v>
      </c>
      <c r="H77" s="9" t="s">
        <v>1114</v>
      </c>
    </row>
    <row r="78" spans="6:8" ht="30" x14ac:dyDescent="0.25">
      <c r="F78" s="8">
        <v>9</v>
      </c>
      <c r="G78" s="8" t="str">
        <f t="shared" si="6"/>
        <v>TROCA DE PRODUTO9</v>
      </c>
      <c r="H78" s="9" t="s">
        <v>1116</v>
      </c>
    </row>
    <row r="79" spans="6:8" ht="30" x14ac:dyDescent="0.25">
      <c r="F79" s="8">
        <v>10</v>
      </c>
      <c r="G79" s="8" t="str">
        <f t="shared" si="6"/>
        <v>TROCA DE PRODUTO10</v>
      </c>
      <c r="H79" s="9" t="s">
        <v>1117</v>
      </c>
    </row>
    <row r="80" spans="6:8" ht="30" x14ac:dyDescent="0.25">
      <c r="F80" s="8">
        <v>11</v>
      </c>
      <c r="G80" s="8" t="str">
        <f t="shared" si="6"/>
        <v>TROCA DE PRODUTO11</v>
      </c>
      <c r="H80" s="9" t="s">
        <v>1118</v>
      </c>
    </row>
    <row r="81" spans="6:8" x14ac:dyDescent="0.25">
      <c r="F81" s="8">
        <v>12</v>
      </c>
      <c r="G81" s="8" t="str">
        <f t="shared" si="6"/>
        <v/>
      </c>
      <c r="H81" s="9"/>
    </row>
    <row r="82" spans="6:8" x14ac:dyDescent="0.25">
      <c r="F82" s="8">
        <v>13</v>
      </c>
      <c r="G82" s="8" t="str">
        <f t="shared" si="6"/>
        <v/>
      </c>
      <c r="H82" s="9"/>
    </row>
    <row r="83" spans="6:8" x14ac:dyDescent="0.25">
      <c r="F83" s="8">
        <v>14</v>
      </c>
      <c r="G83" s="8" t="str">
        <f t="shared" si="6"/>
        <v/>
      </c>
    </row>
    <row r="84" spans="6:8" x14ac:dyDescent="0.25">
      <c r="F84" s="8">
        <v>15</v>
      </c>
      <c r="G84" s="8" t="str">
        <f t="shared" si="6"/>
        <v/>
      </c>
      <c r="H8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2:H10"/>
  <sheetViews>
    <sheetView workbookViewId="0">
      <selection activeCell="B11" sqref="B11:E11"/>
    </sheetView>
  </sheetViews>
  <sheetFormatPr defaultColWidth="9.140625" defaultRowHeight="15" x14ac:dyDescent="0.25"/>
  <cols>
    <col min="1" max="1" width="5.42578125" style="5" customWidth="1"/>
    <col min="2" max="2" width="19.5703125" style="5" bestFit="1" customWidth="1"/>
    <col min="3" max="3" width="57.7109375" style="5" customWidth="1"/>
    <col min="4" max="4" width="7" style="5" customWidth="1"/>
    <col min="5" max="5" width="28.5703125" style="5" bestFit="1" customWidth="1"/>
    <col min="6" max="6" width="10.140625" style="5" customWidth="1"/>
    <col min="7" max="8" width="4.7109375" style="5" customWidth="1"/>
    <col min="9" max="16384" width="9.140625" style="5"/>
  </cols>
  <sheetData>
    <row r="2" spans="2:8" x14ac:dyDescent="0.25">
      <c r="B2" s="5" t="s">
        <v>23</v>
      </c>
      <c r="C2" s="5" t="s">
        <v>39</v>
      </c>
    </row>
    <row r="3" spans="2:8" x14ac:dyDescent="0.25">
      <c r="B3" s="5" t="s">
        <v>22</v>
      </c>
      <c r="C3" s="5" t="str">
        <f>IFERROR(VLOOKUP($C$2&amp;"*",ASC_List!$A:$H,2,0),"")</f>
        <v>Comercial Conclima LTDA</v>
      </c>
    </row>
    <row r="4" spans="2:8" x14ac:dyDescent="0.25">
      <c r="B4" s="5" t="s">
        <v>493</v>
      </c>
      <c r="C4" s="5" t="s">
        <v>495</v>
      </c>
    </row>
    <row r="5" spans="2:8" x14ac:dyDescent="0.25">
      <c r="B5" s="5" t="s">
        <v>494</v>
      </c>
      <c r="C5" s="5" t="s">
        <v>496</v>
      </c>
    </row>
    <row r="6" spans="2:8" x14ac:dyDescent="0.25">
      <c r="B6" s="5" t="s">
        <v>498</v>
      </c>
      <c r="C6" s="5" t="s">
        <v>504</v>
      </c>
    </row>
    <row r="7" spans="2:8" x14ac:dyDescent="0.25">
      <c r="B7" s="5" t="s">
        <v>499</v>
      </c>
      <c r="C7" s="5" t="s">
        <v>503</v>
      </c>
    </row>
    <row r="8" spans="2:8" x14ac:dyDescent="0.25">
      <c r="B8" s="5" t="s">
        <v>500</v>
      </c>
      <c r="C8" s="5" t="s">
        <v>524</v>
      </c>
      <c r="D8" s="5" t="e">
        <f ca="1">IF(AND($G$8="v",LEN($C$8)=12,H9&lt;&gt;1),"Ok","Erro")</f>
        <v>#VALUE!</v>
      </c>
      <c r="E8" s="5" t="e">
        <f ca="1">IF($D$8="Erro","[ERRO] Verifique o Nº de Série","")</f>
        <v>#VALUE!</v>
      </c>
      <c r="F8" s="6">
        <f>IFERROR(VALUE(LEFT($C$8,3)),"")</f>
        <v>401</v>
      </c>
      <c r="G8" s="5" t="e">
        <f ca="1">CELL("tipo",F8)</f>
        <v>#VALUE!</v>
      </c>
    </row>
    <row r="9" spans="2:8" x14ac:dyDescent="0.25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25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2:J29"/>
  <sheetViews>
    <sheetView topLeftCell="A13" workbookViewId="0">
      <selection activeCell="C30" sqref="C30"/>
    </sheetView>
  </sheetViews>
  <sheetFormatPr defaultColWidth="9.140625" defaultRowHeight="15" x14ac:dyDescent="0.25"/>
  <cols>
    <col min="1" max="1" width="5.42578125" style="10" customWidth="1"/>
    <col min="2" max="2" width="33.5703125" style="10" customWidth="1"/>
    <col min="3" max="3" width="57.7109375" style="10" customWidth="1"/>
    <col min="4" max="4" width="7" style="10" customWidth="1"/>
    <col min="5" max="5" width="28.5703125" style="10" bestFit="1" customWidth="1"/>
    <col min="6" max="6" width="10.140625" style="10" customWidth="1"/>
    <col min="7" max="7" width="7.42578125" style="10" customWidth="1"/>
    <col min="8" max="8" width="4.7109375" style="10" customWidth="1"/>
    <col min="9" max="16384" width="9.140625" style="10"/>
  </cols>
  <sheetData>
    <row r="2" spans="2:8" x14ac:dyDescent="0.25">
      <c r="B2" s="10" t="s">
        <v>23</v>
      </c>
      <c r="C2" s="10" t="e">
        <f>#REF!</f>
        <v>#REF!</v>
      </c>
    </row>
    <row r="3" spans="2:8" x14ac:dyDescent="0.25">
      <c r="B3" s="10" t="s">
        <v>22</v>
      </c>
      <c r="C3" s="10" t="str">
        <f>IFERROR(VLOOKUP($C$2&amp;"*",ASC_List!$A:$H,2,0),"")</f>
        <v/>
      </c>
    </row>
    <row r="4" spans="2:8" x14ac:dyDescent="0.25">
      <c r="B4" s="10" t="s">
        <v>493</v>
      </c>
      <c r="C4" s="10" t="e">
        <f>#REF!</f>
        <v>#REF!</v>
      </c>
    </row>
    <row r="5" spans="2:8" x14ac:dyDescent="0.25">
      <c r="B5" s="10" t="s">
        <v>494</v>
      </c>
      <c r="C5" s="10" t="e">
        <f>#REF!</f>
        <v>#REF!</v>
      </c>
    </row>
    <row r="6" spans="2:8" x14ac:dyDescent="0.25">
      <c r="B6" s="10" t="s">
        <v>505</v>
      </c>
      <c r="C6" s="10" t="e">
        <f>#REF!</f>
        <v>#REF!</v>
      </c>
    </row>
    <row r="7" spans="2:8" x14ac:dyDescent="0.25">
      <c r="B7" s="10" t="s">
        <v>498</v>
      </c>
      <c r="C7" s="10" t="e">
        <f>#REF!</f>
        <v>#REF!</v>
      </c>
    </row>
    <row r="8" spans="2:8" x14ac:dyDescent="0.25">
      <c r="B8" s="10" t="s">
        <v>499</v>
      </c>
      <c r="C8" s="10" t="e">
        <f>#REF!</f>
        <v>#REF!</v>
      </c>
    </row>
    <row r="9" spans="2:8" x14ac:dyDescent="0.25">
      <c r="B9" s="10" t="s">
        <v>500</v>
      </c>
      <c r="C9" s="10" t="e">
        <f>#REF!</f>
        <v>#REF!</v>
      </c>
      <c r="D9" s="10" t="e">
        <f ca="1">IF(AND($G$9="v",LEN($C$9)=12,H9&lt;&gt;1),"Ok","Erro")</f>
        <v>#VALUE!</v>
      </c>
      <c r="E9" s="10" t="e">
        <f ca="1">IF($D$9="Erro","[ERRO] Verifique o Nº de Série","")</f>
        <v>#VALUE!</v>
      </c>
      <c r="F9" s="11" t="str">
        <f>IFERROR(VALUE(LEFT($C$9,3)),"")</f>
        <v/>
      </c>
      <c r="G9" s="10" t="e">
        <f ca="1">CELL("tipo",F9)</f>
        <v>#VALUE!</v>
      </c>
      <c r="H9" s="12" t="str">
        <f>IFERROR(IF($F$9=0,1,VALUE(C9)/VALUE(C9)),"")</f>
        <v/>
      </c>
    </row>
    <row r="10" spans="2:8" x14ac:dyDescent="0.25">
      <c r="B10" s="10" t="s">
        <v>501</v>
      </c>
      <c r="C10" s="10" t="e">
        <f>#REF!</f>
        <v>#REF!</v>
      </c>
    </row>
    <row r="11" spans="2:8" x14ac:dyDescent="0.25">
      <c r="B11" s="10" t="s">
        <v>497</v>
      </c>
      <c r="C11" s="10" t="e">
        <f>#REF!</f>
        <v>#REF!</v>
      </c>
      <c r="D11" s="10" t="e">
        <f>IF(AND(LEFT($C$11,3)="RNM",LEN($C$11)=15),"Ok","Erro")</f>
        <v>#REF!</v>
      </c>
      <c r="E11" s="10" t="e">
        <f>IF($D$11="Erro","[ERRO] Verifique o Nº da OS","")</f>
        <v>#REF!</v>
      </c>
      <c r="H11" s="13"/>
    </row>
    <row r="12" spans="2:8" x14ac:dyDescent="0.25">
      <c r="B12" s="10" t="s">
        <v>531</v>
      </c>
      <c r="C12" s="10" t="e">
        <f>#REF!</f>
        <v>#REF!</v>
      </c>
    </row>
    <row r="13" spans="2:8" x14ac:dyDescent="0.25">
      <c r="B13" s="10" t="s">
        <v>544</v>
      </c>
      <c r="C13" s="10" t="e">
        <f>#REF!</f>
        <v>#REF!</v>
      </c>
    </row>
    <row r="14" spans="2:8" ht="30" x14ac:dyDescent="0.25">
      <c r="B14" s="14" t="s">
        <v>716</v>
      </c>
      <c r="C14" s="10" t="e">
        <f>#REF!</f>
        <v>#REF!</v>
      </c>
    </row>
    <row r="15" spans="2:8" ht="30" x14ac:dyDescent="0.25">
      <c r="B15" s="14" t="s">
        <v>717</v>
      </c>
      <c r="C15" s="10" t="e">
        <f>#REF!</f>
        <v>#REF!</v>
      </c>
    </row>
    <row r="16" spans="2:8" ht="30" x14ac:dyDescent="0.25">
      <c r="B16" s="14" t="s">
        <v>718</v>
      </c>
      <c r="C16" s="10" t="e">
        <f>#REF!</f>
        <v>#REF!</v>
      </c>
    </row>
    <row r="17" spans="2:10" x14ac:dyDescent="0.25">
      <c r="B17" s="10" t="s">
        <v>719</v>
      </c>
      <c r="C17" s="10" t="e">
        <f>#REF!</f>
        <v>#REF!</v>
      </c>
    </row>
    <row r="18" spans="2:10" x14ac:dyDescent="0.25">
      <c r="B18" s="10" t="s">
        <v>720</v>
      </c>
      <c r="C18" s="10" t="e">
        <f>#REF!</f>
        <v>#REF!</v>
      </c>
    </row>
    <row r="19" spans="2:10" x14ac:dyDescent="0.25">
      <c r="B19" s="10" t="s">
        <v>713</v>
      </c>
      <c r="C19" s="10" t="e">
        <f>#REF!</f>
        <v>#REF!</v>
      </c>
    </row>
    <row r="20" spans="2:10" x14ac:dyDescent="0.25">
      <c r="B20" s="10" t="s">
        <v>714</v>
      </c>
      <c r="C20" s="10" t="e">
        <f>#REF!</f>
        <v>#REF!</v>
      </c>
    </row>
    <row r="21" spans="2:10" x14ac:dyDescent="0.25">
      <c r="B21" s="10" t="s">
        <v>715</v>
      </c>
      <c r="C21" s="10" t="e">
        <f>#REF!</f>
        <v>#REF!</v>
      </c>
    </row>
    <row r="23" spans="2:10" x14ac:dyDescent="0.25">
      <c r="B23" s="10" t="s">
        <v>721</v>
      </c>
    </row>
    <row r="25" spans="2:10" x14ac:dyDescent="0.25">
      <c r="B25" s="10" t="e">
        <f>#REF!</f>
        <v>#REF!</v>
      </c>
      <c r="C25" s="10" t="e">
        <f>#REF!</f>
        <v>#REF!</v>
      </c>
      <c r="D25" s="10" t="e">
        <f>#REF!</f>
        <v>#REF!</v>
      </c>
      <c r="E25" s="10" t="e">
        <f>#REF!</f>
        <v>#REF!</v>
      </c>
      <c r="F25" s="10" t="e">
        <f>#REF!</f>
        <v>#REF!</v>
      </c>
      <c r="G25" s="10" t="e">
        <f>#REF!</f>
        <v>#REF!</v>
      </c>
      <c r="H25" s="10" t="e">
        <f>#REF!</f>
        <v>#REF!</v>
      </c>
      <c r="I25" s="10" t="e">
        <f>#REF!</f>
        <v>#REF!</v>
      </c>
      <c r="J25" s="10" t="e">
        <f>#REF!</f>
        <v>#REF!</v>
      </c>
    </row>
    <row r="26" spans="2:10" x14ac:dyDescent="0.25">
      <c r="B26" s="10" t="e">
        <f>#REF!</f>
        <v>#REF!</v>
      </c>
      <c r="C26" s="10" t="e">
        <f>#REF!</f>
        <v>#REF!</v>
      </c>
      <c r="D26" s="10" t="e">
        <f>#REF!</f>
        <v>#REF!</v>
      </c>
      <c r="E26" s="10" t="e">
        <f>#REF!</f>
        <v>#REF!</v>
      </c>
      <c r="F26" s="10" t="e">
        <f>#REF!</f>
        <v>#REF!</v>
      </c>
      <c r="G26" s="10" t="e">
        <f>#REF!</f>
        <v>#REF!</v>
      </c>
      <c r="H26" s="10" t="e">
        <f>#REF!</f>
        <v>#REF!</v>
      </c>
      <c r="I26" s="10" t="e">
        <f>#REF!</f>
        <v>#REF!</v>
      </c>
      <c r="J26" s="10" t="e">
        <f>#REF!</f>
        <v>#REF!</v>
      </c>
    </row>
    <row r="27" spans="2:10" x14ac:dyDescent="0.25">
      <c r="B27" s="10" t="e">
        <f>#REF!</f>
        <v>#REF!</v>
      </c>
      <c r="C27" s="10" t="e">
        <f>#REF!</f>
        <v>#REF!</v>
      </c>
      <c r="D27" s="10" t="e">
        <f>#REF!</f>
        <v>#REF!</v>
      </c>
      <c r="E27" s="10" t="e">
        <f>#REF!</f>
        <v>#REF!</v>
      </c>
      <c r="F27" s="10" t="e">
        <f>#REF!</f>
        <v>#REF!</v>
      </c>
      <c r="G27" s="10" t="e">
        <f>#REF!</f>
        <v>#REF!</v>
      </c>
      <c r="H27" s="10" t="e">
        <f>#REF!</f>
        <v>#REF!</v>
      </c>
      <c r="I27" s="10" t="e">
        <f>#REF!</f>
        <v>#REF!</v>
      </c>
      <c r="J27" s="10" t="e">
        <f>#REF!</f>
        <v>#REF!</v>
      </c>
    </row>
    <row r="28" spans="2:10" x14ac:dyDescent="0.25">
      <c r="B28" s="10" t="e">
        <f>#REF!</f>
        <v>#REF!</v>
      </c>
      <c r="C28" s="10" t="e">
        <f>#REF!</f>
        <v>#REF!</v>
      </c>
      <c r="D28" s="10" t="e">
        <f>#REF!</f>
        <v>#REF!</v>
      </c>
      <c r="E28" s="10" t="e">
        <f>#REF!</f>
        <v>#REF!</v>
      </c>
      <c r="F28" s="10" t="e">
        <f>#REF!</f>
        <v>#REF!</v>
      </c>
      <c r="G28" s="10" t="e">
        <f>#REF!</f>
        <v>#REF!</v>
      </c>
      <c r="H28" s="10" t="e">
        <f>#REF!</f>
        <v>#REF!</v>
      </c>
      <c r="I28" s="10" t="e">
        <f>#REF!</f>
        <v>#REF!</v>
      </c>
      <c r="J28" s="10" t="e">
        <f>#REF!</f>
        <v>#REF!</v>
      </c>
    </row>
    <row r="29" spans="2:10" x14ac:dyDescent="0.25">
      <c r="B29" s="10" t="e">
        <f>#REF!</f>
        <v>#REF!</v>
      </c>
      <c r="C29" s="10" t="e">
        <f>#REF!</f>
        <v>#REF!</v>
      </c>
      <c r="D29" s="10" t="e">
        <f>#REF!</f>
        <v>#REF!</v>
      </c>
      <c r="E29" s="10" t="e">
        <f>#REF!</f>
        <v>#REF!</v>
      </c>
      <c r="F29" s="10" t="e">
        <f>#REF!</f>
        <v>#REF!</v>
      </c>
      <c r="G29" s="10" t="e">
        <f>#REF!</f>
        <v>#REF!</v>
      </c>
      <c r="H29" s="10" t="e">
        <f>#REF!</f>
        <v>#REF!</v>
      </c>
      <c r="I29" s="10" t="e">
        <f>#REF!</f>
        <v>#REF!</v>
      </c>
      <c r="J29" s="10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J388"/>
  <sheetViews>
    <sheetView showGridLines="0" showRowColHeaders="0" topLeftCell="A357" workbookViewId="0">
      <selection activeCell="E371" sqref="E371"/>
    </sheetView>
  </sheetViews>
  <sheetFormatPr defaultColWidth="9.28515625" defaultRowHeight="15" x14ac:dyDescent="0.25"/>
  <cols>
    <col min="1" max="1" width="9.5703125" style="20" bestFit="1" customWidth="1"/>
    <col min="2" max="2" width="64.28515625" style="17" bestFit="1" customWidth="1"/>
    <col min="3" max="3" width="6.5703125" style="21" bestFit="1" customWidth="1"/>
    <col min="4" max="4" width="4" style="21" bestFit="1" customWidth="1"/>
    <col min="5" max="5" width="23.140625" style="21" bestFit="1" customWidth="1"/>
    <col min="6" max="6" width="13.140625" style="21" bestFit="1" customWidth="1"/>
    <col min="7" max="7" width="10.7109375" style="21" bestFit="1" customWidth="1"/>
    <col min="8" max="8" width="22.140625" style="21" bestFit="1" customWidth="1"/>
    <col min="9" max="16384" width="9.28515625" style="17"/>
  </cols>
  <sheetData>
    <row r="1" spans="1:10" x14ac:dyDescent="0.25">
      <c r="A1" s="15" t="s">
        <v>21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J1" s="17" t="str">
        <f>ADDRESS(2,1,1,1,"ASC_List")&amp;":"&amp;ADDRESS(COUNTA($A:$A)+1,1,1,1)</f>
        <v>ASC_List!$A$2:$A$389</v>
      </c>
    </row>
    <row r="2" spans="1:10" x14ac:dyDescent="0.25">
      <c r="A2" s="18" t="s">
        <v>803</v>
      </c>
      <c r="B2" s="17" t="s">
        <v>36</v>
      </c>
      <c r="C2" s="19" t="s">
        <v>37</v>
      </c>
      <c r="D2" s="19" t="s">
        <v>32</v>
      </c>
      <c r="E2" s="19" t="s">
        <v>33</v>
      </c>
      <c r="F2" s="19" t="s">
        <v>1024</v>
      </c>
      <c r="G2" s="19" t="s">
        <v>34</v>
      </c>
      <c r="H2" s="22" t="s">
        <v>32</v>
      </c>
    </row>
    <row r="3" spans="1:10" x14ac:dyDescent="0.25">
      <c r="A3" s="18" t="s">
        <v>609</v>
      </c>
      <c r="B3" s="17" t="s">
        <v>31</v>
      </c>
      <c r="C3" s="19" t="s">
        <v>1023</v>
      </c>
      <c r="D3" s="19" t="s">
        <v>32</v>
      </c>
      <c r="E3" s="19" t="s">
        <v>33</v>
      </c>
      <c r="F3" s="19" t="s">
        <v>1024</v>
      </c>
      <c r="G3" s="19" t="s">
        <v>34</v>
      </c>
      <c r="H3" s="22" t="s">
        <v>35</v>
      </c>
    </row>
    <row r="4" spans="1:10" x14ac:dyDescent="0.25">
      <c r="A4" s="18" t="s">
        <v>804</v>
      </c>
      <c r="B4" s="17" t="s">
        <v>724</v>
      </c>
      <c r="C4" s="19"/>
      <c r="D4" s="19" t="s">
        <v>32</v>
      </c>
      <c r="E4" s="19" t="s">
        <v>33</v>
      </c>
      <c r="F4" s="19" t="s">
        <v>1025</v>
      </c>
      <c r="G4" s="19" t="s">
        <v>1097</v>
      </c>
      <c r="H4" s="22" t="s">
        <v>32</v>
      </c>
    </row>
    <row r="5" spans="1:10" x14ac:dyDescent="0.25">
      <c r="A5" s="18" t="s">
        <v>805</v>
      </c>
      <c r="B5" s="17" t="s">
        <v>1061</v>
      </c>
      <c r="C5" s="19"/>
      <c r="D5" s="19" t="s">
        <v>38</v>
      </c>
      <c r="E5" s="19" t="s">
        <v>41</v>
      </c>
      <c r="F5" s="19" t="s">
        <v>1025</v>
      </c>
      <c r="G5" s="19" t="s">
        <v>548</v>
      </c>
      <c r="H5" s="22" t="s">
        <v>32</v>
      </c>
    </row>
    <row r="6" spans="1:10" x14ac:dyDescent="0.25">
      <c r="A6" s="18" t="s">
        <v>39</v>
      </c>
      <c r="B6" s="17" t="s">
        <v>40</v>
      </c>
      <c r="C6" s="19" t="s">
        <v>37</v>
      </c>
      <c r="D6" s="19" t="s">
        <v>38</v>
      </c>
      <c r="E6" s="19" t="s">
        <v>41</v>
      </c>
      <c r="F6" s="19" t="s">
        <v>1024</v>
      </c>
      <c r="G6" s="19" t="s">
        <v>34</v>
      </c>
      <c r="H6" s="22" t="s">
        <v>32</v>
      </c>
    </row>
    <row r="7" spans="1:10" x14ac:dyDescent="0.25">
      <c r="A7" s="18" t="s">
        <v>806</v>
      </c>
      <c r="B7" s="17" t="s">
        <v>42</v>
      </c>
      <c r="C7" s="19" t="s">
        <v>37</v>
      </c>
      <c r="D7" s="19" t="s">
        <v>38</v>
      </c>
      <c r="E7" s="19" t="s">
        <v>41</v>
      </c>
      <c r="F7" s="19" t="s">
        <v>1024</v>
      </c>
      <c r="G7" s="19" t="s">
        <v>34</v>
      </c>
      <c r="H7" s="22" t="s">
        <v>43</v>
      </c>
    </row>
    <row r="8" spans="1:10" x14ac:dyDescent="0.25">
      <c r="A8" s="18" t="s">
        <v>807</v>
      </c>
      <c r="B8" s="17" t="s">
        <v>44</v>
      </c>
      <c r="C8" s="19" t="s">
        <v>37</v>
      </c>
      <c r="D8" s="19" t="s">
        <v>38</v>
      </c>
      <c r="E8" s="19" t="s">
        <v>41</v>
      </c>
      <c r="F8" s="19" t="s">
        <v>1024</v>
      </c>
      <c r="G8" s="19" t="s">
        <v>34</v>
      </c>
      <c r="H8" s="22" t="s">
        <v>43</v>
      </c>
    </row>
    <row r="9" spans="1:10" x14ac:dyDescent="0.25">
      <c r="A9" s="18" t="s">
        <v>808</v>
      </c>
      <c r="B9" s="17" t="s">
        <v>710</v>
      </c>
      <c r="C9" s="19"/>
      <c r="D9" s="19" t="s">
        <v>38</v>
      </c>
      <c r="E9" s="19" t="s">
        <v>41</v>
      </c>
      <c r="F9" s="19" t="s">
        <v>1025</v>
      </c>
      <c r="G9" s="19" t="s">
        <v>1098</v>
      </c>
      <c r="H9" s="22" t="s">
        <v>32</v>
      </c>
    </row>
    <row r="10" spans="1:10" x14ac:dyDescent="0.25">
      <c r="A10" s="18" t="s">
        <v>45</v>
      </c>
      <c r="B10" s="17" t="s">
        <v>46</v>
      </c>
      <c r="C10" s="19" t="s">
        <v>1023</v>
      </c>
      <c r="D10" s="19" t="s">
        <v>47</v>
      </c>
      <c r="E10" s="19" t="s">
        <v>48</v>
      </c>
      <c r="F10" s="19" t="s">
        <v>1024</v>
      </c>
      <c r="G10" s="19" t="s">
        <v>34</v>
      </c>
      <c r="H10" s="22" t="s">
        <v>43</v>
      </c>
    </row>
    <row r="11" spans="1:10" x14ac:dyDescent="0.25">
      <c r="A11" s="18" t="s">
        <v>809</v>
      </c>
      <c r="B11" s="17" t="s">
        <v>50</v>
      </c>
      <c r="C11" s="19" t="s">
        <v>37</v>
      </c>
      <c r="D11" s="19" t="s">
        <v>47</v>
      </c>
      <c r="E11" s="19" t="s">
        <v>48</v>
      </c>
      <c r="F11" s="19" t="s">
        <v>1024</v>
      </c>
      <c r="G11" s="19" t="s">
        <v>34</v>
      </c>
      <c r="H11" s="22" t="s">
        <v>32</v>
      </c>
    </row>
    <row r="12" spans="1:10" x14ac:dyDescent="0.25">
      <c r="A12" s="18" t="s">
        <v>810</v>
      </c>
      <c r="B12" s="17" t="s">
        <v>675</v>
      </c>
      <c r="C12" s="19"/>
      <c r="D12" s="19" t="s">
        <v>47</v>
      </c>
      <c r="E12" s="19" t="s">
        <v>48</v>
      </c>
      <c r="F12" s="19" t="s">
        <v>1025</v>
      </c>
      <c r="G12" s="19" t="s">
        <v>1097</v>
      </c>
      <c r="H12" s="22" t="s">
        <v>32</v>
      </c>
    </row>
    <row r="13" spans="1:10" x14ac:dyDescent="0.25">
      <c r="A13" s="18" t="s">
        <v>811</v>
      </c>
      <c r="B13" s="17" t="s">
        <v>725</v>
      </c>
      <c r="C13" s="19"/>
      <c r="D13" s="19" t="s">
        <v>47</v>
      </c>
      <c r="E13" s="19" t="s">
        <v>48</v>
      </c>
      <c r="F13" s="19" t="s">
        <v>1025</v>
      </c>
      <c r="G13" s="19" t="s">
        <v>1097</v>
      </c>
      <c r="H13" s="22" t="s">
        <v>32</v>
      </c>
    </row>
    <row r="14" spans="1:10" x14ac:dyDescent="0.25">
      <c r="A14" s="18" t="s">
        <v>53</v>
      </c>
      <c r="B14" s="17" t="s">
        <v>54</v>
      </c>
      <c r="C14" s="19" t="s">
        <v>37</v>
      </c>
      <c r="D14" s="19" t="s">
        <v>51</v>
      </c>
      <c r="E14" s="19" t="s">
        <v>52</v>
      </c>
      <c r="F14" s="19" t="s">
        <v>801</v>
      </c>
      <c r="G14" s="19" t="s">
        <v>34</v>
      </c>
      <c r="H14" s="22" t="s">
        <v>43</v>
      </c>
    </row>
    <row r="15" spans="1:10" x14ac:dyDescent="0.25">
      <c r="A15" s="18" t="s">
        <v>812</v>
      </c>
      <c r="B15" s="17" t="s">
        <v>55</v>
      </c>
      <c r="C15" s="19" t="s">
        <v>37</v>
      </c>
      <c r="D15" s="19" t="s">
        <v>51</v>
      </c>
      <c r="E15" s="19" t="s">
        <v>52</v>
      </c>
      <c r="F15" s="19" t="s">
        <v>801</v>
      </c>
      <c r="G15" s="19" t="s">
        <v>34</v>
      </c>
      <c r="H15" s="22" t="s">
        <v>32</v>
      </c>
    </row>
    <row r="16" spans="1:10" x14ac:dyDescent="0.25">
      <c r="A16" s="18" t="s">
        <v>57</v>
      </c>
      <c r="B16" s="17" t="s">
        <v>58</v>
      </c>
      <c r="C16" s="19" t="s">
        <v>37</v>
      </c>
      <c r="D16" s="19" t="s">
        <v>56</v>
      </c>
      <c r="E16" s="19" t="s">
        <v>59</v>
      </c>
      <c r="F16" s="19" t="s">
        <v>1024</v>
      </c>
      <c r="G16" s="19" t="s">
        <v>34</v>
      </c>
      <c r="H16" s="22" t="s">
        <v>43</v>
      </c>
    </row>
    <row r="17" spans="1:8" x14ac:dyDescent="0.25">
      <c r="A17" s="18" t="s">
        <v>61</v>
      </c>
      <c r="B17" s="17" t="s">
        <v>62</v>
      </c>
      <c r="C17" s="19" t="s">
        <v>1023</v>
      </c>
      <c r="D17" s="19" t="s">
        <v>56</v>
      </c>
      <c r="E17" s="19" t="s">
        <v>60</v>
      </c>
      <c r="F17" s="19" t="s">
        <v>1024</v>
      </c>
      <c r="G17" s="19" t="s">
        <v>34</v>
      </c>
      <c r="H17" s="22" t="s">
        <v>43</v>
      </c>
    </row>
    <row r="18" spans="1:8" x14ac:dyDescent="0.25">
      <c r="A18" s="18" t="s">
        <v>813</v>
      </c>
      <c r="B18" s="17" t="s">
        <v>726</v>
      </c>
      <c r="C18" s="19" t="s">
        <v>37</v>
      </c>
      <c r="D18" s="19" t="s">
        <v>56</v>
      </c>
      <c r="E18" s="19" t="s">
        <v>60</v>
      </c>
      <c r="F18" s="19" t="s">
        <v>1024</v>
      </c>
      <c r="G18" s="19" t="s">
        <v>34</v>
      </c>
      <c r="H18" s="22" t="s">
        <v>32</v>
      </c>
    </row>
    <row r="19" spans="1:8" x14ac:dyDescent="0.25">
      <c r="A19" s="18" t="s">
        <v>814</v>
      </c>
      <c r="B19" s="17" t="s">
        <v>63</v>
      </c>
      <c r="C19" s="19" t="s">
        <v>37</v>
      </c>
      <c r="D19" s="19" t="s">
        <v>56</v>
      </c>
      <c r="E19" s="19" t="s">
        <v>64</v>
      </c>
      <c r="F19" s="19" t="s">
        <v>1024</v>
      </c>
      <c r="G19" s="19" t="s">
        <v>34</v>
      </c>
      <c r="H19" s="22" t="s">
        <v>43</v>
      </c>
    </row>
    <row r="20" spans="1:8" x14ac:dyDescent="0.25">
      <c r="A20" s="18" t="s">
        <v>66</v>
      </c>
      <c r="B20" s="17" t="s">
        <v>67</v>
      </c>
      <c r="C20" s="19" t="s">
        <v>37</v>
      </c>
      <c r="D20" s="19" t="s">
        <v>56</v>
      </c>
      <c r="E20" s="19" t="s">
        <v>65</v>
      </c>
      <c r="F20" s="19" t="s">
        <v>1024</v>
      </c>
      <c r="G20" s="19" t="s">
        <v>34</v>
      </c>
      <c r="H20" s="22" t="s">
        <v>43</v>
      </c>
    </row>
    <row r="21" spans="1:8" x14ac:dyDescent="0.25">
      <c r="A21" s="18" t="s">
        <v>68</v>
      </c>
      <c r="B21" s="17" t="s">
        <v>69</v>
      </c>
      <c r="C21" s="19" t="s">
        <v>37</v>
      </c>
      <c r="D21" s="19" t="s">
        <v>56</v>
      </c>
      <c r="E21" s="19" t="s">
        <v>70</v>
      </c>
      <c r="F21" s="19" t="s">
        <v>1024</v>
      </c>
      <c r="G21" s="19" t="s">
        <v>34</v>
      </c>
      <c r="H21" s="22" t="s">
        <v>43</v>
      </c>
    </row>
    <row r="22" spans="1:8" x14ac:dyDescent="0.25">
      <c r="A22" s="18" t="s">
        <v>815</v>
      </c>
      <c r="B22" s="17" t="s">
        <v>697</v>
      </c>
      <c r="C22" s="19"/>
      <c r="D22" s="19" t="s">
        <v>56</v>
      </c>
      <c r="E22" s="19" t="s">
        <v>71</v>
      </c>
      <c r="F22" s="19" t="s">
        <v>1025</v>
      </c>
      <c r="G22" s="19" t="s">
        <v>802</v>
      </c>
      <c r="H22" s="22" t="s">
        <v>698</v>
      </c>
    </row>
    <row r="23" spans="1:8" x14ac:dyDescent="0.25">
      <c r="A23" s="18" t="s">
        <v>816</v>
      </c>
      <c r="B23" s="17" t="s">
        <v>690</v>
      </c>
      <c r="C23" s="19"/>
      <c r="D23" s="19" t="s">
        <v>56</v>
      </c>
      <c r="E23" s="19" t="s">
        <v>71</v>
      </c>
      <c r="F23" s="19" t="s">
        <v>1025</v>
      </c>
      <c r="G23" s="19" t="s">
        <v>1097</v>
      </c>
      <c r="H23" s="22" t="s">
        <v>32</v>
      </c>
    </row>
    <row r="24" spans="1:8" x14ac:dyDescent="0.25">
      <c r="A24" s="18" t="s">
        <v>72</v>
      </c>
      <c r="B24" s="17" t="s">
        <v>73</v>
      </c>
      <c r="C24" s="19" t="s">
        <v>37</v>
      </c>
      <c r="D24" s="19" t="s">
        <v>56</v>
      </c>
      <c r="E24" s="19" t="s">
        <v>71</v>
      </c>
      <c r="F24" s="19" t="s">
        <v>1024</v>
      </c>
      <c r="G24" s="19" t="s">
        <v>34</v>
      </c>
      <c r="H24" s="22" t="s">
        <v>43</v>
      </c>
    </row>
    <row r="25" spans="1:8" x14ac:dyDescent="0.25">
      <c r="A25" s="18" t="s">
        <v>817</v>
      </c>
      <c r="B25" s="17" t="s">
        <v>727</v>
      </c>
      <c r="C25" s="19" t="s">
        <v>37</v>
      </c>
      <c r="D25" s="19" t="s">
        <v>56</v>
      </c>
      <c r="E25" s="19" t="s">
        <v>786</v>
      </c>
      <c r="F25" s="19" t="s">
        <v>1024</v>
      </c>
      <c r="G25" s="19" t="s">
        <v>34</v>
      </c>
      <c r="H25" s="22" t="s">
        <v>43</v>
      </c>
    </row>
    <row r="26" spans="1:8" x14ac:dyDescent="0.25">
      <c r="A26" s="18" t="s">
        <v>818</v>
      </c>
      <c r="B26" s="17" t="s">
        <v>730</v>
      </c>
      <c r="C26" s="19"/>
      <c r="D26" s="19" t="s">
        <v>56</v>
      </c>
      <c r="E26" s="19" t="s">
        <v>74</v>
      </c>
      <c r="F26" s="19" t="s">
        <v>1025</v>
      </c>
      <c r="G26" s="19" t="s">
        <v>1097</v>
      </c>
      <c r="H26" s="22" t="s">
        <v>32</v>
      </c>
    </row>
    <row r="27" spans="1:8" x14ac:dyDescent="0.25">
      <c r="A27" s="18" t="s">
        <v>819</v>
      </c>
      <c r="B27" s="17" t="s">
        <v>80</v>
      </c>
      <c r="C27" s="19" t="s">
        <v>37</v>
      </c>
      <c r="D27" s="19" t="s">
        <v>56</v>
      </c>
      <c r="E27" s="19" t="s">
        <v>74</v>
      </c>
      <c r="F27" s="19" t="s">
        <v>1024</v>
      </c>
      <c r="G27" s="19" t="s">
        <v>34</v>
      </c>
      <c r="H27" s="22" t="s">
        <v>32</v>
      </c>
    </row>
    <row r="28" spans="1:8" x14ac:dyDescent="0.25">
      <c r="A28" s="18" t="s">
        <v>820</v>
      </c>
      <c r="B28" s="17" t="s">
        <v>1062</v>
      </c>
      <c r="C28" s="19"/>
      <c r="D28" s="19" t="s">
        <v>56</v>
      </c>
      <c r="E28" s="19" t="s">
        <v>74</v>
      </c>
      <c r="F28" s="19" t="s">
        <v>1025</v>
      </c>
      <c r="G28" s="19" t="s">
        <v>1097</v>
      </c>
      <c r="H28" s="22" t="s">
        <v>32</v>
      </c>
    </row>
    <row r="29" spans="1:8" x14ac:dyDescent="0.25">
      <c r="A29" s="18" t="s">
        <v>666</v>
      </c>
      <c r="B29" s="17" t="s">
        <v>729</v>
      </c>
      <c r="C29" s="19"/>
      <c r="D29" s="19" t="s">
        <v>56</v>
      </c>
      <c r="E29" s="19" t="s">
        <v>74</v>
      </c>
      <c r="F29" s="19" t="s">
        <v>1025</v>
      </c>
      <c r="G29" s="19" t="s">
        <v>1097</v>
      </c>
      <c r="H29" s="22" t="s">
        <v>32</v>
      </c>
    </row>
    <row r="30" spans="1:8" x14ac:dyDescent="0.25">
      <c r="A30" s="18" t="s">
        <v>574</v>
      </c>
      <c r="B30" s="17" t="s">
        <v>575</v>
      </c>
      <c r="C30" s="19"/>
      <c r="D30" s="19" t="s">
        <v>56</v>
      </c>
      <c r="E30" s="19" t="s">
        <v>74</v>
      </c>
      <c r="F30" s="19" t="s">
        <v>1025</v>
      </c>
      <c r="G30" s="19" t="s">
        <v>548</v>
      </c>
      <c r="H30" s="22" t="s">
        <v>32</v>
      </c>
    </row>
    <row r="31" spans="1:8" x14ac:dyDescent="0.25">
      <c r="A31" s="18" t="s">
        <v>597</v>
      </c>
      <c r="B31" s="17" t="s">
        <v>728</v>
      </c>
      <c r="C31" s="19"/>
      <c r="D31" s="19" t="s">
        <v>56</v>
      </c>
      <c r="E31" s="19" t="s">
        <v>74</v>
      </c>
      <c r="F31" s="19" t="s">
        <v>1025</v>
      </c>
      <c r="G31" s="19" t="s">
        <v>548</v>
      </c>
      <c r="H31" s="22" t="s">
        <v>32</v>
      </c>
    </row>
    <row r="32" spans="1:8" x14ac:dyDescent="0.25">
      <c r="A32" s="18" t="s">
        <v>77</v>
      </c>
      <c r="B32" s="17" t="s">
        <v>78</v>
      </c>
      <c r="C32" s="19" t="s">
        <v>37</v>
      </c>
      <c r="D32" s="19" t="s">
        <v>56</v>
      </c>
      <c r="E32" s="19" t="s">
        <v>74</v>
      </c>
      <c r="F32" s="19" t="s">
        <v>1024</v>
      </c>
      <c r="G32" s="19" t="s">
        <v>34</v>
      </c>
      <c r="H32" s="22" t="s">
        <v>32</v>
      </c>
    </row>
    <row r="33" spans="1:8" x14ac:dyDescent="0.25">
      <c r="A33" s="18" t="s">
        <v>650</v>
      </c>
      <c r="B33" s="17" t="s">
        <v>651</v>
      </c>
      <c r="C33" s="19"/>
      <c r="D33" s="19" t="s">
        <v>56</v>
      </c>
      <c r="E33" s="19" t="s">
        <v>74</v>
      </c>
      <c r="F33" s="19" t="s">
        <v>1025</v>
      </c>
      <c r="G33" s="19" t="s">
        <v>548</v>
      </c>
      <c r="H33" s="22" t="s">
        <v>32</v>
      </c>
    </row>
    <row r="34" spans="1:8" x14ac:dyDescent="0.25">
      <c r="A34" s="18" t="s">
        <v>821</v>
      </c>
      <c r="B34" s="17" t="s">
        <v>79</v>
      </c>
      <c r="C34" s="19" t="s">
        <v>1023</v>
      </c>
      <c r="D34" s="19" t="s">
        <v>56</v>
      </c>
      <c r="E34" s="19" t="s">
        <v>74</v>
      </c>
      <c r="F34" s="19" t="s">
        <v>1024</v>
      </c>
      <c r="G34" s="19" t="s">
        <v>34</v>
      </c>
      <c r="H34" s="22" t="s">
        <v>43</v>
      </c>
    </row>
    <row r="35" spans="1:8" x14ac:dyDescent="0.25">
      <c r="A35" s="18" t="s">
        <v>75</v>
      </c>
      <c r="B35" s="17" t="s">
        <v>76</v>
      </c>
      <c r="C35" s="19" t="s">
        <v>37</v>
      </c>
      <c r="D35" s="19" t="s">
        <v>56</v>
      </c>
      <c r="E35" s="19" t="s">
        <v>74</v>
      </c>
      <c r="F35" s="19" t="s">
        <v>1024</v>
      </c>
      <c r="G35" s="19" t="s">
        <v>34</v>
      </c>
      <c r="H35" s="22" t="s">
        <v>43</v>
      </c>
    </row>
    <row r="36" spans="1:8" x14ac:dyDescent="0.25">
      <c r="A36" s="18" t="s">
        <v>822</v>
      </c>
      <c r="B36" s="17" t="s">
        <v>709</v>
      </c>
      <c r="C36" s="19"/>
      <c r="D36" s="19" t="s">
        <v>56</v>
      </c>
      <c r="E36" s="19" t="s">
        <v>74</v>
      </c>
      <c r="F36" s="19" t="s">
        <v>1025</v>
      </c>
      <c r="G36" s="19" t="s">
        <v>1098</v>
      </c>
      <c r="H36" s="22" t="s">
        <v>32</v>
      </c>
    </row>
    <row r="37" spans="1:8" x14ac:dyDescent="0.25">
      <c r="A37" s="18" t="s">
        <v>823</v>
      </c>
      <c r="B37" s="17" t="s">
        <v>731</v>
      </c>
      <c r="C37" s="19" t="s">
        <v>37</v>
      </c>
      <c r="D37" s="19" t="s">
        <v>56</v>
      </c>
      <c r="E37" s="19" t="s">
        <v>787</v>
      </c>
      <c r="F37" s="19" t="s">
        <v>1024</v>
      </c>
      <c r="G37" s="19" t="s">
        <v>34</v>
      </c>
      <c r="H37" s="22" t="s">
        <v>32</v>
      </c>
    </row>
    <row r="38" spans="1:8" x14ac:dyDescent="0.25">
      <c r="A38" s="18" t="s">
        <v>824</v>
      </c>
      <c r="B38" s="17" t="s">
        <v>732</v>
      </c>
      <c r="C38" s="19"/>
      <c r="D38" s="19" t="s">
        <v>81</v>
      </c>
      <c r="E38" s="19" t="s">
        <v>82</v>
      </c>
      <c r="F38" s="19" t="s">
        <v>1025</v>
      </c>
      <c r="G38" s="19" t="s">
        <v>1097</v>
      </c>
      <c r="H38" s="22" t="s">
        <v>32</v>
      </c>
    </row>
    <row r="39" spans="1:8" x14ac:dyDescent="0.25">
      <c r="A39" s="18" t="s">
        <v>825</v>
      </c>
      <c r="B39" s="17" t="s">
        <v>733</v>
      </c>
      <c r="C39" s="19"/>
      <c r="D39" s="19" t="s">
        <v>81</v>
      </c>
      <c r="E39" s="19" t="s">
        <v>82</v>
      </c>
      <c r="F39" s="19" t="s">
        <v>1025</v>
      </c>
      <c r="G39" s="19" t="s">
        <v>1097</v>
      </c>
      <c r="H39" s="22" t="s">
        <v>32</v>
      </c>
    </row>
    <row r="40" spans="1:8" x14ac:dyDescent="0.25">
      <c r="A40" s="18" t="s">
        <v>85</v>
      </c>
      <c r="B40" s="17" t="s">
        <v>86</v>
      </c>
      <c r="C40" s="19" t="s">
        <v>1023</v>
      </c>
      <c r="D40" s="19" t="s">
        <v>81</v>
      </c>
      <c r="E40" s="19" t="s">
        <v>82</v>
      </c>
      <c r="F40" s="19" t="s">
        <v>1024</v>
      </c>
      <c r="G40" s="19" t="s">
        <v>49</v>
      </c>
      <c r="H40" s="22" t="s">
        <v>87</v>
      </c>
    </row>
    <row r="41" spans="1:8" x14ac:dyDescent="0.25">
      <c r="A41" s="18" t="s">
        <v>562</v>
      </c>
      <c r="B41" s="17" t="s">
        <v>563</v>
      </c>
      <c r="C41" s="19"/>
      <c r="D41" s="19" t="s">
        <v>81</v>
      </c>
      <c r="E41" s="19" t="s">
        <v>82</v>
      </c>
      <c r="F41" s="19" t="s">
        <v>1025</v>
      </c>
      <c r="G41" s="19" t="s">
        <v>548</v>
      </c>
      <c r="H41" s="22" t="s">
        <v>32</v>
      </c>
    </row>
    <row r="42" spans="1:8" x14ac:dyDescent="0.25">
      <c r="A42" s="18" t="s">
        <v>564</v>
      </c>
      <c r="B42" s="17" t="s">
        <v>565</v>
      </c>
      <c r="C42" s="19"/>
      <c r="D42" s="19" t="s">
        <v>81</v>
      </c>
      <c r="E42" s="19" t="s">
        <v>82</v>
      </c>
      <c r="F42" s="19" t="s">
        <v>1025</v>
      </c>
      <c r="G42" s="19" t="s">
        <v>1098</v>
      </c>
      <c r="H42" s="22" t="s">
        <v>32</v>
      </c>
    </row>
    <row r="43" spans="1:8" x14ac:dyDescent="0.25">
      <c r="A43" s="18" t="s">
        <v>83</v>
      </c>
      <c r="B43" s="17" t="s">
        <v>84</v>
      </c>
      <c r="C43" s="19" t="s">
        <v>37</v>
      </c>
      <c r="D43" s="19" t="s">
        <v>81</v>
      </c>
      <c r="E43" s="19" t="s">
        <v>82</v>
      </c>
      <c r="F43" s="19" t="s">
        <v>1024</v>
      </c>
      <c r="G43" s="19" t="s">
        <v>34</v>
      </c>
      <c r="H43" s="22" t="s">
        <v>43</v>
      </c>
    </row>
    <row r="44" spans="1:8" x14ac:dyDescent="0.25">
      <c r="A44" s="20" t="s">
        <v>826</v>
      </c>
      <c r="B44" s="17" t="s">
        <v>89</v>
      </c>
      <c r="C44" s="19" t="s">
        <v>37</v>
      </c>
      <c r="D44" s="21" t="s">
        <v>81</v>
      </c>
      <c r="E44" s="21" t="s">
        <v>88</v>
      </c>
      <c r="F44" s="21" t="s">
        <v>1024</v>
      </c>
      <c r="G44" s="21" t="s">
        <v>34</v>
      </c>
      <c r="H44" s="23" t="s">
        <v>43</v>
      </c>
    </row>
    <row r="45" spans="1:8" x14ac:dyDescent="0.25">
      <c r="A45" s="20" t="s">
        <v>827</v>
      </c>
      <c r="B45" s="17" t="s">
        <v>734</v>
      </c>
      <c r="C45" s="19"/>
      <c r="D45" s="21" t="s">
        <v>81</v>
      </c>
      <c r="E45" s="21" t="s">
        <v>90</v>
      </c>
      <c r="F45" s="21" t="s">
        <v>1025</v>
      </c>
      <c r="G45" s="21" t="s">
        <v>548</v>
      </c>
      <c r="H45" s="23" t="s">
        <v>32</v>
      </c>
    </row>
    <row r="46" spans="1:8" x14ac:dyDescent="0.25">
      <c r="A46" s="20" t="s">
        <v>590</v>
      </c>
      <c r="B46" s="17" t="s">
        <v>735</v>
      </c>
      <c r="C46" s="19"/>
      <c r="D46" s="21" t="s">
        <v>81</v>
      </c>
      <c r="E46" s="21" t="s">
        <v>91</v>
      </c>
      <c r="F46" s="21" t="s">
        <v>1025</v>
      </c>
      <c r="G46" s="21" t="s">
        <v>548</v>
      </c>
      <c r="H46" s="23" t="s">
        <v>32</v>
      </c>
    </row>
    <row r="47" spans="1:8" x14ac:dyDescent="0.25">
      <c r="A47" s="20" t="s">
        <v>92</v>
      </c>
      <c r="B47" s="17" t="s">
        <v>93</v>
      </c>
      <c r="C47" s="19" t="s">
        <v>1023</v>
      </c>
      <c r="D47" s="21" t="s">
        <v>94</v>
      </c>
      <c r="E47" s="21" t="s">
        <v>95</v>
      </c>
      <c r="F47" s="21" t="s">
        <v>801</v>
      </c>
      <c r="G47" s="21" t="s">
        <v>34</v>
      </c>
      <c r="H47" s="23" t="s">
        <v>43</v>
      </c>
    </row>
    <row r="48" spans="1:8" x14ac:dyDescent="0.25">
      <c r="A48" s="20" t="s">
        <v>828</v>
      </c>
      <c r="B48" s="17" t="s">
        <v>676</v>
      </c>
      <c r="C48" s="19"/>
      <c r="D48" s="21" t="s">
        <v>94</v>
      </c>
      <c r="E48" s="21" t="s">
        <v>95</v>
      </c>
      <c r="F48" s="21" t="s">
        <v>1025</v>
      </c>
      <c r="G48" s="21" t="s">
        <v>1097</v>
      </c>
      <c r="H48" s="23" t="s">
        <v>32</v>
      </c>
    </row>
    <row r="49" spans="1:8" x14ac:dyDescent="0.25">
      <c r="A49" s="20" t="s">
        <v>568</v>
      </c>
      <c r="B49" s="17" t="s">
        <v>569</v>
      </c>
      <c r="C49" s="19"/>
      <c r="D49" s="21" t="s">
        <v>94</v>
      </c>
      <c r="E49" s="21" t="s">
        <v>95</v>
      </c>
      <c r="F49" s="21" t="s">
        <v>1025</v>
      </c>
      <c r="G49" s="21" t="s">
        <v>548</v>
      </c>
      <c r="H49" s="23" t="s">
        <v>32</v>
      </c>
    </row>
    <row r="50" spans="1:8" x14ac:dyDescent="0.25">
      <c r="A50" s="20" t="s">
        <v>829</v>
      </c>
      <c r="B50" s="17" t="s">
        <v>1032</v>
      </c>
      <c r="C50" s="19" t="s">
        <v>37</v>
      </c>
      <c r="D50" s="21" t="s">
        <v>94</v>
      </c>
      <c r="E50" s="21" t="s">
        <v>1010</v>
      </c>
      <c r="F50" s="21" t="s">
        <v>801</v>
      </c>
      <c r="G50" s="21" t="s">
        <v>34</v>
      </c>
      <c r="H50" s="23" t="s">
        <v>43</v>
      </c>
    </row>
    <row r="51" spans="1:8" x14ac:dyDescent="0.25">
      <c r="A51" s="20" t="s">
        <v>830</v>
      </c>
      <c r="B51" s="17" t="s">
        <v>1033</v>
      </c>
      <c r="C51" s="19" t="s">
        <v>37</v>
      </c>
      <c r="D51" s="21" t="s">
        <v>94</v>
      </c>
      <c r="E51" s="21" t="s">
        <v>1010</v>
      </c>
      <c r="F51" s="21" t="s">
        <v>801</v>
      </c>
      <c r="G51" s="21" t="s">
        <v>34</v>
      </c>
      <c r="H51" s="23" t="s">
        <v>43</v>
      </c>
    </row>
    <row r="52" spans="1:8" x14ac:dyDescent="0.25">
      <c r="A52" s="20" t="s">
        <v>831</v>
      </c>
      <c r="B52" s="17" t="s">
        <v>98</v>
      </c>
      <c r="C52" s="19" t="s">
        <v>37</v>
      </c>
      <c r="D52" s="21" t="s">
        <v>96</v>
      </c>
      <c r="E52" s="21" t="s">
        <v>97</v>
      </c>
      <c r="F52" s="21" t="s">
        <v>801</v>
      </c>
      <c r="G52" s="21" t="s">
        <v>34</v>
      </c>
      <c r="H52" s="23" t="s">
        <v>43</v>
      </c>
    </row>
    <row r="53" spans="1:8" x14ac:dyDescent="0.25">
      <c r="A53" s="20" t="s">
        <v>832</v>
      </c>
      <c r="B53" s="17" t="s">
        <v>1063</v>
      </c>
      <c r="C53" s="19"/>
      <c r="D53" s="21" t="s">
        <v>96</v>
      </c>
      <c r="E53" s="21" t="s">
        <v>689</v>
      </c>
      <c r="F53" s="21" t="s">
        <v>1025</v>
      </c>
      <c r="G53" s="21" t="s">
        <v>548</v>
      </c>
      <c r="H53" s="23" t="s">
        <v>32</v>
      </c>
    </row>
    <row r="54" spans="1:8" x14ac:dyDescent="0.25">
      <c r="A54" s="20" t="s">
        <v>833</v>
      </c>
      <c r="B54" s="17" t="s">
        <v>1064</v>
      </c>
      <c r="C54" s="19"/>
      <c r="D54" s="21" t="s">
        <v>96</v>
      </c>
      <c r="E54" s="21" t="s">
        <v>689</v>
      </c>
      <c r="F54" s="21" t="s">
        <v>1025</v>
      </c>
      <c r="G54" s="21" t="s">
        <v>1097</v>
      </c>
      <c r="H54" s="23" t="s">
        <v>32</v>
      </c>
    </row>
    <row r="55" spans="1:8" x14ac:dyDescent="0.25">
      <c r="A55" s="20" t="s">
        <v>834</v>
      </c>
      <c r="B55" s="17" t="s">
        <v>688</v>
      </c>
      <c r="C55" s="19"/>
      <c r="D55" s="21" t="s">
        <v>96</v>
      </c>
      <c r="E55" s="21" t="s">
        <v>689</v>
      </c>
      <c r="F55" s="21" t="s">
        <v>1025</v>
      </c>
      <c r="G55" s="21" t="s">
        <v>548</v>
      </c>
      <c r="H55" s="23" t="s">
        <v>32</v>
      </c>
    </row>
    <row r="56" spans="1:8" x14ac:dyDescent="0.25">
      <c r="A56" s="20" t="s">
        <v>588</v>
      </c>
      <c r="B56" s="17" t="s">
        <v>589</v>
      </c>
      <c r="D56" s="21" t="s">
        <v>96</v>
      </c>
      <c r="E56" s="21" t="s">
        <v>99</v>
      </c>
      <c r="F56" s="21" t="s">
        <v>1025</v>
      </c>
      <c r="G56" s="21" t="s">
        <v>548</v>
      </c>
      <c r="H56" s="23" t="s">
        <v>32</v>
      </c>
    </row>
    <row r="57" spans="1:8" x14ac:dyDescent="0.25">
      <c r="A57" s="20" t="s">
        <v>835</v>
      </c>
      <c r="B57" s="17" t="s">
        <v>736</v>
      </c>
      <c r="C57" s="21" t="s">
        <v>37</v>
      </c>
      <c r="D57" s="21" t="s">
        <v>96</v>
      </c>
      <c r="E57" s="21" t="s">
        <v>99</v>
      </c>
      <c r="F57" s="21" t="s">
        <v>801</v>
      </c>
      <c r="G57" s="21" t="s">
        <v>34</v>
      </c>
      <c r="H57" s="23" t="s">
        <v>43</v>
      </c>
    </row>
    <row r="58" spans="1:8" x14ac:dyDescent="0.25">
      <c r="A58" s="20" t="s">
        <v>836</v>
      </c>
      <c r="B58" s="17" t="s">
        <v>100</v>
      </c>
      <c r="C58" s="21" t="s">
        <v>37</v>
      </c>
      <c r="D58" s="21" t="s">
        <v>96</v>
      </c>
      <c r="E58" s="21" t="s">
        <v>101</v>
      </c>
      <c r="F58" s="21" t="s">
        <v>801</v>
      </c>
      <c r="G58" s="21" t="s">
        <v>34</v>
      </c>
      <c r="H58" s="23" t="s">
        <v>43</v>
      </c>
    </row>
    <row r="59" spans="1:8" x14ac:dyDescent="0.25">
      <c r="A59" s="20" t="s">
        <v>837</v>
      </c>
      <c r="B59" s="17" t="s">
        <v>103</v>
      </c>
      <c r="C59" s="21" t="s">
        <v>37</v>
      </c>
      <c r="D59" s="21" t="s">
        <v>96</v>
      </c>
      <c r="E59" s="21" t="s">
        <v>102</v>
      </c>
      <c r="F59" s="21" t="s">
        <v>801</v>
      </c>
      <c r="G59" s="21" t="s">
        <v>34</v>
      </c>
      <c r="H59" s="23" t="s">
        <v>43</v>
      </c>
    </row>
    <row r="60" spans="1:8" x14ac:dyDescent="0.25">
      <c r="A60" s="20" t="s">
        <v>652</v>
      </c>
      <c r="B60" s="17" t="s">
        <v>653</v>
      </c>
      <c r="D60" s="21" t="s">
        <v>96</v>
      </c>
      <c r="E60" s="21" t="s">
        <v>104</v>
      </c>
      <c r="F60" s="21" t="s">
        <v>1025</v>
      </c>
      <c r="G60" s="21" t="s">
        <v>548</v>
      </c>
      <c r="H60" s="23" t="s">
        <v>32</v>
      </c>
    </row>
    <row r="61" spans="1:8" x14ac:dyDescent="0.25">
      <c r="A61" s="20" t="s">
        <v>595</v>
      </c>
      <c r="B61" s="17" t="s">
        <v>596</v>
      </c>
      <c r="D61" s="21" t="s">
        <v>96</v>
      </c>
      <c r="E61" s="21" t="s">
        <v>104</v>
      </c>
      <c r="F61" s="21" t="s">
        <v>1025</v>
      </c>
      <c r="G61" s="21" t="s">
        <v>1097</v>
      </c>
      <c r="H61" s="23" t="s">
        <v>32</v>
      </c>
    </row>
    <row r="62" spans="1:8" x14ac:dyDescent="0.25">
      <c r="A62" s="20" t="s">
        <v>838</v>
      </c>
      <c r="B62" s="17" t="s">
        <v>706</v>
      </c>
      <c r="D62" s="21" t="s">
        <v>96</v>
      </c>
      <c r="E62" s="21" t="s">
        <v>104</v>
      </c>
      <c r="F62" s="21" t="s">
        <v>1025</v>
      </c>
      <c r="G62" s="21" t="s">
        <v>1098</v>
      </c>
      <c r="H62" s="23" t="s">
        <v>32</v>
      </c>
    </row>
    <row r="63" spans="1:8" x14ac:dyDescent="0.25">
      <c r="A63" s="20" t="s">
        <v>105</v>
      </c>
      <c r="B63" s="17" t="s">
        <v>106</v>
      </c>
      <c r="C63" s="21" t="s">
        <v>1023</v>
      </c>
      <c r="D63" s="21" t="s">
        <v>96</v>
      </c>
      <c r="E63" s="21" t="s">
        <v>107</v>
      </c>
      <c r="F63" s="21" t="s">
        <v>801</v>
      </c>
      <c r="G63" s="21" t="s">
        <v>34</v>
      </c>
      <c r="H63" s="23" t="s">
        <v>43</v>
      </c>
    </row>
    <row r="64" spans="1:8" x14ac:dyDescent="0.25">
      <c r="A64" s="20" t="s">
        <v>839</v>
      </c>
      <c r="B64" s="17" t="s">
        <v>681</v>
      </c>
      <c r="D64" s="21" t="s">
        <v>96</v>
      </c>
      <c r="E64" s="21" t="s">
        <v>581</v>
      </c>
      <c r="F64" s="21" t="s">
        <v>1025</v>
      </c>
      <c r="G64" s="21" t="s">
        <v>1097</v>
      </c>
      <c r="H64" s="23" t="s">
        <v>32</v>
      </c>
    </row>
    <row r="65" spans="1:8" x14ac:dyDescent="0.25">
      <c r="A65" s="20" t="s">
        <v>840</v>
      </c>
      <c r="B65" s="17" t="s">
        <v>737</v>
      </c>
      <c r="D65" s="21" t="s">
        <v>96</v>
      </c>
      <c r="E65" s="21" t="s">
        <v>581</v>
      </c>
      <c r="F65" s="21" t="s">
        <v>1025</v>
      </c>
      <c r="G65" s="21" t="s">
        <v>1097</v>
      </c>
      <c r="H65" s="23" t="s">
        <v>32</v>
      </c>
    </row>
    <row r="66" spans="1:8" x14ac:dyDescent="0.25">
      <c r="A66" s="20" t="s">
        <v>579</v>
      </c>
      <c r="B66" s="17" t="s">
        <v>580</v>
      </c>
      <c r="D66" s="21" t="s">
        <v>96</v>
      </c>
      <c r="E66" s="21" t="s">
        <v>581</v>
      </c>
      <c r="F66" s="21" t="s">
        <v>1025</v>
      </c>
      <c r="G66" s="21" t="s">
        <v>1097</v>
      </c>
      <c r="H66" s="23" t="s">
        <v>32</v>
      </c>
    </row>
    <row r="67" spans="1:8" x14ac:dyDescent="0.25">
      <c r="A67" s="20" t="s">
        <v>108</v>
      </c>
      <c r="B67" s="17" t="s">
        <v>109</v>
      </c>
      <c r="C67" s="21" t="s">
        <v>37</v>
      </c>
      <c r="D67" s="21" t="s">
        <v>110</v>
      </c>
      <c r="E67" s="21" t="s">
        <v>111</v>
      </c>
      <c r="F67" s="21" t="s">
        <v>1024</v>
      </c>
      <c r="G67" s="21" t="s">
        <v>34</v>
      </c>
      <c r="H67" s="23" t="s">
        <v>43</v>
      </c>
    </row>
    <row r="68" spans="1:8" x14ac:dyDescent="0.25">
      <c r="A68" s="20" t="s">
        <v>113</v>
      </c>
      <c r="B68" s="17" t="s">
        <v>114</v>
      </c>
      <c r="C68" s="21" t="s">
        <v>1023</v>
      </c>
      <c r="D68" s="21" t="s">
        <v>110</v>
      </c>
      <c r="E68" s="21" t="s">
        <v>112</v>
      </c>
      <c r="F68" s="21" t="s">
        <v>1024</v>
      </c>
      <c r="G68" s="21" t="s">
        <v>1029</v>
      </c>
      <c r="H68" s="23" t="s">
        <v>35</v>
      </c>
    </row>
    <row r="69" spans="1:8" x14ac:dyDescent="0.25">
      <c r="A69" s="20" t="s">
        <v>669</v>
      </c>
      <c r="B69" s="17" t="s">
        <v>670</v>
      </c>
      <c r="D69" s="21" t="s">
        <v>110</v>
      </c>
      <c r="E69" s="21" t="s">
        <v>112</v>
      </c>
      <c r="F69" s="21" t="s">
        <v>1025</v>
      </c>
      <c r="G69" s="21" t="s">
        <v>1097</v>
      </c>
      <c r="H69" s="23" t="s">
        <v>32</v>
      </c>
    </row>
    <row r="70" spans="1:8" x14ac:dyDescent="0.25">
      <c r="A70" s="20" t="s">
        <v>841</v>
      </c>
      <c r="B70" s="17" t="s">
        <v>704</v>
      </c>
      <c r="D70" s="21" t="s">
        <v>110</v>
      </c>
      <c r="E70" s="21" t="s">
        <v>112</v>
      </c>
      <c r="F70" s="21" t="s">
        <v>1025</v>
      </c>
      <c r="G70" s="21" t="s">
        <v>1098</v>
      </c>
      <c r="H70" s="23" t="s">
        <v>32</v>
      </c>
    </row>
    <row r="71" spans="1:8" x14ac:dyDescent="0.25">
      <c r="A71" s="20" t="s">
        <v>842</v>
      </c>
      <c r="B71" s="17" t="s">
        <v>1034</v>
      </c>
      <c r="C71" s="21" t="s">
        <v>37</v>
      </c>
      <c r="D71" s="21" t="s">
        <v>110</v>
      </c>
      <c r="E71" s="21" t="s">
        <v>112</v>
      </c>
      <c r="F71" s="21" t="s">
        <v>1024</v>
      </c>
      <c r="G71" s="21" t="s">
        <v>34</v>
      </c>
      <c r="H71" s="23" t="s">
        <v>43</v>
      </c>
    </row>
    <row r="72" spans="1:8" x14ac:dyDescent="0.25">
      <c r="A72" s="20" t="s">
        <v>843</v>
      </c>
      <c r="B72" s="17" t="s">
        <v>116</v>
      </c>
      <c r="C72" s="21" t="s">
        <v>37</v>
      </c>
      <c r="D72" s="21" t="s">
        <v>110</v>
      </c>
      <c r="E72" s="21" t="s">
        <v>115</v>
      </c>
      <c r="F72" s="21" t="s">
        <v>1024</v>
      </c>
      <c r="G72" s="21" t="s">
        <v>34</v>
      </c>
      <c r="H72" s="23" t="s">
        <v>43</v>
      </c>
    </row>
    <row r="73" spans="1:8" x14ac:dyDescent="0.25">
      <c r="A73" s="20" t="s">
        <v>844</v>
      </c>
      <c r="B73" s="17" t="s">
        <v>1035</v>
      </c>
      <c r="C73" s="21" t="s">
        <v>37</v>
      </c>
      <c r="D73" s="21" t="s">
        <v>110</v>
      </c>
      <c r="E73" s="21" t="s">
        <v>1011</v>
      </c>
      <c r="F73" s="21" t="s">
        <v>1024</v>
      </c>
      <c r="G73" s="21" t="s">
        <v>34</v>
      </c>
      <c r="H73" s="23" t="s">
        <v>32</v>
      </c>
    </row>
    <row r="74" spans="1:8" x14ac:dyDescent="0.25">
      <c r="A74" s="20" t="s">
        <v>118</v>
      </c>
      <c r="B74" s="17" t="s">
        <v>639</v>
      </c>
      <c r="C74" s="21" t="s">
        <v>37</v>
      </c>
      <c r="D74" s="21" t="s">
        <v>110</v>
      </c>
      <c r="E74" s="21" t="s">
        <v>117</v>
      </c>
      <c r="F74" s="21" t="s">
        <v>1024</v>
      </c>
      <c r="G74" s="21" t="s">
        <v>34</v>
      </c>
      <c r="H74" s="23" t="s">
        <v>43</v>
      </c>
    </row>
    <row r="75" spans="1:8" x14ac:dyDescent="0.25">
      <c r="A75" s="20" t="s">
        <v>845</v>
      </c>
      <c r="B75" s="17" t="s">
        <v>119</v>
      </c>
      <c r="C75" s="21" t="s">
        <v>37</v>
      </c>
      <c r="D75" s="21" t="s">
        <v>110</v>
      </c>
      <c r="E75" s="21" t="s">
        <v>120</v>
      </c>
      <c r="F75" s="21" t="s">
        <v>1024</v>
      </c>
      <c r="G75" s="21" t="s">
        <v>34</v>
      </c>
      <c r="H75" s="23" t="s">
        <v>32</v>
      </c>
    </row>
    <row r="76" spans="1:8" x14ac:dyDescent="0.25">
      <c r="A76" s="18" t="s">
        <v>846</v>
      </c>
      <c r="B76" s="17" t="s">
        <v>123</v>
      </c>
      <c r="C76" s="19" t="s">
        <v>37</v>
      </c>
      <c r="D76" s="19" t="s">
        <v>121</v>
      </c>
      <c r="E76" s="19" t="s">
        <v>122</v>
      </c>
      <c r="F76" s="19" t="s">
        <v>801</v>
      </c>
      <c r="G76" s="19" t="s">
        <v>34</v>
      </c>
      <c r="H76" s="22" t="s">
        <v>43</v>
      </c>
    </row>
    <row r="77" spans="1:8" x14ac:dyDescent="0.25">
      <c r="A77" s="18" t="s">
        <v>847</v>
      </c>
      <c r="B77" s="17" t="s">
        <v>1036</v>
      </c>
      <c r="C77" s="19" t="s">
        <v>37</v>
      </c>
      <c r="D77" s="19" t="s">
        <v>121</v>
      </c>
      <c r="E77" s="19" t="s">
        <v>124</v>
      </c>
      <c r="F77" s="19" t="s">
        <v>801</v>
      </c>
      <c r="G77" s="19" t="s">
        <v>34</v>
      </c>
      <c r="H77" s="22" t="s">
        <v>43</v>
      </c>
    </row>
    <row r="78" spans="1:8" x14ac:dyDescent="0.25">
      <c r="A78" s="20" t="s">
        <v>848</v>
      </c>
      <c r="B78" s="17" t="s">
        <v>125</v>
      </c>
      <c r="C78" s="21" t="s">
        <v>37</v>
      </c>
      <c r="D78" s="21" t="s">
        <v>121</v>
      </c>
      <c r="E78" s="21" t="s">
        <v>124</v>
      </c>
      <c r="F78" s="21" t="s">
        <v>801</v>
      </c>
      <c r="G78" s="21" t="s">
        <v>34</v>
      </c>
      <c r="H78" s="23" t="s">
        <v>32</v>
      </c>
    </row>
    <row r="79" spans="1:8" x14ac:dyDescent="0.25">
      <c r="A79" s="20" t="s">
        <v>849</v>
      </c>
      <c r="B79" s="17" t="s">
        <v>1037</v>
      </c>
      <c r="C79" s="21" t="s">
        <v>37</v>
      </c>
      <c r="D79" s="21" t="s">
        <v>121</v>
      </c>
      <c r="E79" s="21" t="s">
        <v>124</v>
      </c>
      <c r="F79" s="21" t="s">
        <v>801</v>
      </c>
      <c r="G79" s="21" t="s">
        <v>34</v>
      </c>
      <c r="H79" s="23" t="s">
        <v>32</v>
      </c>
    </row>
    <row r="80" spans="1:8" x14ac:dyDescent="0.25">
      <c r="A80" s="20" t="s">
        <v>850</v>
      </c>
      <c r="B80" s="17" t="s">
        <v>1038</v>
      </c>
      <c r="C80" s="21" t="s">
        <v>37</v>
      </c>
      <c r="D80" s="21" t="s">
        <v>121</v>
      </c>
      <c r="E80" s="21" t="s">
        <v>124</v>
      </c>
      <c r="F80" s="21" t="s">
        <v>801</v>
      </c>
      <c r="G80" s="21" t="s">
        <v>34</v>
      </c>
      <c r="H80" s="23" t="s">
        <v>43</v>
      </c>
    </row>
    <row r="81" spans="1:8" x14ac:dyDescent="0.25">
      <c r="A81" s="20" t="s">
        <v>851</v>
      </c>
      <c r="B81" s="17" t="s">
        <v>130</v>
      </c>
      <c r="C81" s="21" t="s">
        <v>1023</v>
      </c>
      <c r="D81" s="21" t="s">
        <v>126</v>
      </c>
      <c r="E81" s="21" t="s">
        <v>127</v>
      </c>
      <c r="F81" s="21" t="s">
        <v>1026</v>
      </c>
      <c r="G81" s="21" t="s">
        <v>34</v>
      </c>
      <c r="H81" s="23" t="s">
        <v>43</v>
      </c>
    </row>
    <row r="82" spans="1:8" x14ac:dyDescent="0.25">
      <c r="A82" s="20" t="s">
        <v>1089</v>
      </c>
      <c r="B82" s="17" t="s">
        <v>1065</v>
      </c>
      <c r="D82" s="21" t="s">
        <v>126</v>
      </c>
      <c r="E82" s="21" t="s">
        <v>127</v>
      </c>
      <c r="F82" s="21" t="s">
        <v>1025</v>
      </c>
      <c r="G82" s="21" t="s">
        <v>1097</v>
      </c>
      <c r="H82" s="23" t="s">
        <v>32</v>
      </c>
    </row>
    <row r="83" spans="1:8" x14ac:dyDescent="0.25">
      <c r="A83" s="20" t="s">
        <v>593</v>
      </c>
      <c r="B83" s="17" t="s">
        <v>594</v>
      </c>
      <c r="D83" s="21" t="s">
        <v>126</v>
      </c>
      <c r="E83" s="21" t="s">
        <v>127</v>
      </c>
      <c r="F83" s="21" t="s">
        <v>1025</v>
      </c>
      <c r="G83" s="21" t="s">
        <v>548</v>
      </c>
      <c r="H83" s="23" t="s">
        <v>32</v>
      </c>
    </row>
    <row r="84" spans="1:8" x14ac:dyDescent="0.25">
      <c r="A84" s="20" t="s">
        <v>584</v>
      </c>
      <c r="B84" s="17" t="s">
        <v>585</v>
      </c>
      <c r="D84" s="21" t="s">
        <v>126</v>
      </c>
      <c r="E84" s="21" t="s">
        <v>127</v>
      </c>
      <c r="F84" s="21" t="s">
        <v>1025</v>
      </c>
      <c r="G84" s="21" t="s">
        <v>548</v>
      </c>
      <c r="H84" s="23" t="s">
        <v>32</v>
      </c>
    </row>
    <row r="85" spans="1:8" x14ac:dyDescent="0.25">
      <c r="A85" s="20" t="s">
        <v>663</v>
      </c>
      <c r="B85" s="17" t="s">
        <v>664</v>
      </c>
      <c r="D85" s="21" t="s">
        <v>126</v>
      </c>
      <c r="E85" s="21" t="s">
        <v>127</v>
      </c>
      <c r="F85" s="21" t="s">
        <v>1025</v>
      </c>
      <c r="G85" s="21" t="s">
        <v>548</v>
      </c>
      <c r="H85" s="23" t="s">
        <v>32</v>
      </c>
    </row>
    <row r="86" spans="1:8" x14ac:dyDescent="0.25">
      <c r="A86" s="20" t="s">
        <v>128</v>
      </c>
      <c r="B86" s="17" t="s">
        <v>129</v>
      </c>
      <c r="C86" s="21" t="s">
        <v>1023</v>
      </c>
      <c r="D86" s="21" t="s">
        <v>126</v>
      </c>
      <c r="E86" s="21" t="s">
        <v>127</v>
      </c>
      <c r="F86" s="21" t="s">
        <v>1026</v>
      </c>
      <c r="G86" s="21" t="s">
        <v>49</v>
      </c>
      <c r="H86" s="23" t="s">
        <v>35</v>
      </c>
    </row>
    <row r="87" spans="1:8" x14ac:dyDescent="0.25">
      <c r="A87" s="20" t="s">
        <v>635</v>
      </c>
      <c r="B87" s="17" t="s">
        <v>636</v>
      </c>
      <c r="D87" s="21" t="s">
        <v>126</v>
      </c>
      <c r="E87" s="21" t="s">
        <v>127</v>
      </c>
      <c r="F87" s="21" t="s">
        <v>1025</v>
      </c>
      <c r="G87" s="21" t="s">
        <v>1098</v>
      </c>
      <c r="H87" s="23" t="s">
        <v>32</v>
      </c>
    </row>
    <row r="88" spans="1:8" x14ac:dyDescent="0.25">
      <c r="A88" s="20" t="s">
        <v>132</v>
      </c>
      <c r="B88" s="17" t="s">
        <v>133</v>
      </c>
      <c r="C88" s="21" t="s">
        <v>37</v>
      </c>
      <c r="D88" s="21" t="s">
        <v>126</v>
      </c>
      <c r="E88" s="21" t="s">
        <v>131</v>
      </c>
      <c r="F88" s="21" t="s">
        <v>1026</v>
      </c>
      <c r="G88" s="21" t="s">
        <v>34</v>
      </c>
      <c r="H88" s="23" t="s">
        <v>43</v>
      </c>
    </row>
    <row r="89" spans="1:8" x14ac:dyDescent="0.25">
      <c r="A89" s="20" t="s">
        <v>556</v>
      </c>
      <c r="B89" s="17" t="s">
        <v>557</v>
      </c>
      <c r="D89" s="21" t="s">
        <v>126</v>
      </c>
      <c r="E89" s="21" t="s">
        <v>134</v>
      </c>
      <c r="F89" s="21" t="s">
        <v>1025</v>
      </c>
      <c r="G89" s="21" t="s">
        <v>548</v>
      </c>
      <c r="H89" s="23" t="s">
        <v>32</v>
      </c>
    </row>
    <row r="90" spans="1:8" x14ac:dyDescent="0.25">
      <c r="A90" s="20" t="s">
        <v>135</v>
      </c>
      <c r="B90" s="17" t="s">
        <v>136</v>
      </c>
      <c r="C90" s="21" t="s">
        <v>37</v>
      </c>
      <c r="D90" s="21" t="s">
        <v>126</v>
      </c>
      <c r="E90" s="21" t="s">
        <v>134</v>
      </c>
      <c r="F90" s="21" t="s">
        <v>1026</v>
      </c>
      <c r="G90" s="21" t="s">
        <v>34</v>
      </c>
      <c r="H90" s="23" t="s">
        <v>43</v>
      </c>
    </row>
    <row r="91" spans="1:8" x14ac:dyDescent="0.25">
      <c r="A91" s="20" t="s">
        <v>591</v>
      </c>
      <c r="B91" s="17" t="s">
        <v>592</v>
      </c>
      <c r="D91" s="21" t="s">
        <v>126</v>
      </c>
      <c r="E91" s="21" t="s">
        <v>137</v>
      </c>
      <c r="F91" s="21" t="s">
        <v>1025</v>
      </c>
      <c r="G91" s="21" t="s">
        <v>548</v>
      </c>
      <c r="H91" s="23" t="s">
        <v>32</v>
      </c>
    </row>
    <row r="92" spans="1:8" x14ac:dyDescent="0.25">
      <c r="A92" s="20" t="s">
        <v>138</v>
      </c>
      <c r="B92" s="17" t="s">
        <v>139</v>
      </c>
      <c r="C92" s="21" t="s">
        <v>1023</v>
      </c>
      <c r="D92" s="21" t="s">
        <v>126</v>
      </c>
      <c r="E92" s="21" t="s">
        <v>137</v>
      </c>
      <c r="F92" s="21" t="s">
        <v>1026</v>
      </c>
      <c r="G92" s="21" t="s">
        <v>34</v>
      </c>
      <c r="H92" s="23" t="s">
        <v>43</v>
      </c>
    </row>
    <row r="93" spans="1:8" x14ac:dyDescent="0.25">
      <c r="A93" s="20" t="s">
        <v>140</v>
      </c>
      <c r="B93" s="17" t="s">
        <v>738</v>
      </c>
      <c r="C93" s="21" t="s">
        <v>37</v>
      </c>
      <c r="D93" s="21" t="s">
        <v>126</v>
      </c>
      <c r="E93" s="21" t="s">
        <v>141</v>
      </c>
      <c r="F93" s="21" t="s">
        <v>1026</v>
      </c>
      <c r="G93" s="21" t="s">
        <v>34</v>
      </c>
      <c r="H93" s="23" t="s">
        <v>43</v>
      </c>
    </row>
    <row r="94" spans="1:8" x14ac:dyDescent="0.25">
      <c r="A94" s="20" t="s">
        <v>852</v>
      </c>
      <c r="B94" s="17" t="s">
        <v>1039</v>
      </c>
      <c r="C94" s="21" t="s">
        <v>37</v>
      </c>
      <c r="D94" s="21" t="s">
        <v>126</v>
      </c>
      <c r="E94" s="21" t="s">
        <v>1012</v>
      </c>
      <c r="F94" s="21" t="s">
        <v>1026</v>
      </c>
      <c r="G94" s="21" t="s">
        <v>34</v>
      </c>
      <c r="H94" s="23" t="s">
        <v>43</v>
      </c>
    </row>
    <row r="95" spans="1:8" x14ac:dyDescent="0.25">
      <c r="A95" s="20" t="s">
        <v>853</v>
      </c>
      <c r="B95" s="17" t="s">
        <v>143</v>
      </c>
      <c r="C95" s="21" t="s">
        <v>37</v>
      </c>
      <c r="D95" s="21" t="s">
        <v>126</v>
      </c>
      <c r="E95" s="21" t="s">
        <v>142</v>
      </c>
      <c r="F95" s="21" t="s">
        <v>1026</v>
      </c>
      <c r="G95" s="21" t="s">
        <v>34</v>
      </c>
      <c r="H95" s="23" t="s">
        <v>43</v>
      </c>
    </row>
    <row r="96" spans="1:8" x14ac:dyDescent="0.25">
      <c r="A96" s="20" t="s">
        <v>145</v>
      </c>
      <c r="B96" s="17" t="s">
        <v>146</v>
      </c>
      <c r="C96" s="21" t="s">
        <v>37</v>
      </c>
      <c r="D96" s="21" t="s">
        <v>126</v>
      </c>
      <c r="E96" s="21" t="s">
        <v>144</v>
      </c>
      <c r="F96" s="21" t="s">
        <v>1026</v>
      </c>
      <c r="G96" s="21" t="s">
        <v>34</v>
      </c>
      <c r="H96" s="23" t="s">
        <v>43</v>
      </c>
    </row>
    <row r="97" spans="1:8" x14ac:dyDescent="0.25">
      <c r="A97" s="20" t="s">
        <v>150</v>
      </c>
      <c r="B97" s="17" t="s">
        <v>739</v>
      </c>
      <c r="C97" s="21" t="s">
        <v>37</v>
      </c>
      <c r="D97" s="21" t="s">
        <v>126</v>
      </c>
      <c r="E97" s="21" t="s">
        <v>147</v>
      </c>
      <c r="F97" s="21" t="s">
        <v>1026</v>
      </c>
      <c r="G97" s="21" t="s">
        <v>34</v>
      </c>
      <c r="H97" s="23" t="s">
        <v>43</v>
      </c>
    </row>
    <row r="98" spans="1:8" x14ac:dyDescent="0.25">
      <c r="A98" s="20" t="s">
        <v>148</v>
      </c>
      <c r="B98" s="17" t="s">
        <v>149</v>
      </c>
      <c r="C98" s="21" t="s">
        <v>37</v>
      </c>
      <c r="D98" s="21" t="s">
        <v>126</v>
      </c>
      <c r="E98" s="21" t="s">
        <v>147</v>
      </c>
      <c r="F98" s="21" t="s">
        <v>1026</v>
      </c>
      <c r="G98" s="21" t="s">
        <v>34</v>
      </c>
      <c r="H98" s="23" t="s">
        <v>43</v>
      </c>
    </row>
    <row r="99" spans="1:8" x14ac:dyDescent="0.25">
      <c r="A99" s="20" t="s">
        <v>153</v>
      </c>
      <c r="B99" s="17" t="s">
        <v>154</v>
      </c>
      <c r="C99" s="21" t="s">
        <v>1023</v>
      </c>
      <c r="D99" s="21" t="s">
        <v>151</v>
      </c>
      <c r="E99" s="21" t="s">
        <v>152</v>
      </c>
      <c r="F99" s="21" t="s">
        <v>801</v>
      </c>
      <c r="G99" s="21" t="s">
        <v>34</v>
      </c>
      <c r="H99" s="23" t="s">
        <v>43</v>
      </c>
    </row>
    <row r="100" spans="1:8" x14ac:dyDescent="0.25">
      <c r="A100" s="20" t="s">
        <v>607</v>
      </c>
      <c r="B100" s="17" t="s">
        <v>608</v>
      </c>
      <c r="D100" s="21" t="s">
        <v>151</v>
      </c>
      <c r="E100" s="21" t="s">
        <v>152</v>
      </c>
      <c r="F100" s="21" t="s">
        <v>1025</v>
      </c>
      <c r="G100" s="21" t="s">
        <v>548</v>
      </c>
      <c r="H100" s="23" t="s">
        <v>32</v>
      </c>
    </row>
    <row r="101" spans="1:8" x14ac:dyDescent="0.25">
      <c r="A101" s="20" t="s">
        <v>854</v>
      </c>
      <c r="B101" s="17" t="s">
        <v>608</v>
      </c>
      <c r="D101" s="21" t="s">
        <v>151</v>
      </c>
      <c r="E101" s="21" t="s">
        <v>152</v>
      </c>
      <c r="F101" s="21" t="s">
        <v>1025</v>
      </c>
      <c r="G101" s="21" t="s">
        <v>548</v>
      </c>
      <c r="H101" s="23" t="s">
        <v>32</v>
      </c>
    </row>
    <row r="102" spans="1:8" x14ac:dyDescent="0.25">
      <c r="A102" s="20" t="s">
        <v>155</v>
      </c>
      <c r="B102" s="17" t="s">
        <v>156</v>
      </c>
      <c r="C102" s="21" t="s">
        <v>37</v>
      </c>
      <c r="D102" s="21" t="s">
        <v>151</v>
      </c>
      <c r="E102" s="21" t="s">
        <v>157</v>
      </c>
      <c r="F102" s="21" t="s">
        <v>801</v>
      </c>
      <c r="G102" s="21" t="s">
        <v>34</v>
      </c>
      <c r="H102" s="23" t="s">
        <v>43</v>
      </c>
    </row>
    <row r="103" spans="1:8" x14ac:dyDescent="0.25">
      <c r="A103" s="20" t="s">
        <v>855</v>
      </c>
      <c r="B103" s="17" t="s">
        <v>158</v>
      </c>
      <c r="C103" s="21" t="s">
        <v>37</v>
      </c>
      <c r="D103" s="21" t="s">
        <v>151</v>
      </c>
      <c r="E103" s="21" t="s">
        <v>159</v>
      </c>
      <c r="F103" s="21" t="s">
        <v>801</v>
      </c>
      <c r="G103" s="21" t="s">
        <v>34</v>
      </c>
      <c r="H103" s="23" t="s">
        <v>32</v>
      </c>
    </row>
    <row r="104" spans="1:8" x14ac:dyDescent="0.25">
      <c r="A104" s="20" t="s">
        <v>856</v>
      </c>
      <c r="B104" s="17" t="s">
        <v>160</v>
      </c>
      <c r="C104" s="21" t="s">
        <v>37</v>
      </c>
      <c r="D104" s="21" t="s">
        <v>151</v>
      </c>
      <c r="E104" s="21" t="s">
        <v>161</v>
      </c>
      <c r="F104" s="21" t="s">
        <v>801</v>
      </c>
      <c r="G104" s="21" t="s">
        <v>34</v>
      </c>
      <c r="H104" s="23" t="s">
        <v>32</v>
      </c>
    </row>
    <row r="105" spans="1:8" x14ac:dyDescent="0.25">
      <c r="A105" s="20" t="s">
        <v>857</v>
      </c>
      <c r="B105" s="17" t="s">
        <v>162</v>
      </c>
      <c r="C105" s="21" t="s">
        <v>37</v>
      </c>
      <c r="D105" s="21" t="s">
        <v>163</v>
      </c>
      <c r="E105" s="21" t="s">
        <v>164</v>
      </c>
      <c r="F105" s="21" t="s">
        <v>1024</v>
      </c>
      <c r="G105" s="21" t="s">
        <v>34</v>
      </c>
      <c r="H105" s="23" t="s">
        <v>43</v>
      </c>
    </row>
    <row r="106" spans="1:8" x14ac:dyDescent="0.25">
      <c r="A106" s="20" t="s">
        <v>858</v>
      </c>
      <c r="B106" s="17" t="s">
        <v>1040</v>
      </c>
      <c r="C106" s="21" t="s">
        <v>37</v>
      </c>
      <c r="D106" s="21" t="s">
        <v>163</v>
      </c>
      <c r="E106" s="21" t="s">
        <v>1013</v>
      </c>
      <c r="F106" s="21" t="s">
        <v>1024</v>
      </c>
      <c r="G106" s="21" t="s">
        <v>34</v>
      </c>
      <c r="H106" s="23" t="s">
        <v>32</v>
      </c>
    </row>
    <row r="107" spans="1:8" x14ac:dyDescent="0.25">
      <c r="A107" s="20" t="s">
        <v>859</v>
      </c>
      <c r="B107" s="17" t="s">
        <v>1066</v>
      </c>
      <c r="D107" s="21" t="s">
        <v>163</v>
      </c>
      <c r="E107" s="21" t="s">
        <v>165</v>
      </c>
      <c r="F107" s="21" t="s">
        <v>1025</v>
      </c>
      <c r="G107" s="21" t="s">
        <v>1097</v>
      </c>
      <c r="H107" s="23" t="s">
        <v>32</v>
      </c>
    </row>
    <row r="108" spans="1:8" x14ac:dyDescent="0.25">
      <c r="A108" s="20" t="s">
        <v>166</v>
      </c>
      <c r="B108" s="17" t="s">
        <v>167</v>
      </c>
      <c r="C108" s="21" t="s">
        <v>1023</v>
      </c>
      <c r="D108" s="21" t="s">
        <v>163</v>
      </c>
      <c r="E108" s="21" t="s">
        <v>165</v>
      </c>
      <c r="F108" s="21" t="s">
        <v>1024</v>
      </c>
      <c r="G108" s="21" t="s">
        <v>34</v>
      </c>
      <c r="H108" s="23" t="s">
        <v>43</v>
      </c>
    </row>
    <row r="109" spans="1:8" x14ac:dyDescent="0.25">
      <c r="A109" s="20" t="s">
        <v>860</v>
      </c>
      <c r="B109" s="17" t="s">
        <v>711</v>
      </c>
      <c r="D109" s="21" t="s">
        <v>163</v>
      </c>
      <c r="E109" s="21" t="s">
        <v>165</v>
      </c>
      <c r="F109" s="21" t="s">
        <v>1025</v>
      </c>
      <c r="G109" s="21" t="s">
        <v>1098</v>
      </c>
      <c r="H109" s="23" t="s">
        <v>32</v>
      </c>
    </row>
    <row r="110" spans="1:8" x14ac:dyDescent="0.25">
      <c r="A110" s="20" t="s">
        <v>168</v>
      </c>
      <c r="B110" s="17" t="s">
        <v>169</v>
      </c>
      <c r="C110" s="21" t="s">
        <v>1023</v>
      </c>
      <c r="D110" s="21" t="s">
        <v>163</v>
      </c>
      <c r="E110" s="21" t="s">
        <v>170</v>
      </c>
      <c r="F110" s="21" t="s">
        <v>1024</v>
      </c>
      <c r="G110" s="21" t="s">
        <v>34</v>
      </c>
      <c r="H110" s="23" t="s">
        <v>43</v>
      </c>
    </row>
    <row r="111" spans="1:8" x14ac:dyDescent="0.25">
      <c r="A111" s="20" t="s">
        <v>171</v>
      </c>
      <c r="B111" s="17" t="s">
        <v>172</v>
      </c>
      <c r="C111" s="21" t="s">
        <v>37</v>
      </c>
      <c r="D111" s="21" t="s">
        <v>163</v>
      </c>
      <c r="E111" s="21" t="s">
        <v>173</v>
      </c>
      <c r="F111" s="21" t="s">
        <v>1024</v>
      </c>
      <c r="G111" s="21" t="s">
        <v>34</v>
      </c>
      <c r="H111" s="23" t="s">
        <v>43</v>
      </c>
    </row>
    <row r="112" spans="1:8" x14ac:dyDescent="0.25">
      <c r="A112" s="20" t="s">
        <v>175</v>
      </c>
      <c r="B112" s="17" t="s">
        <v>176</v>
      </c>
      <c r="C112" s="21" t="s">
        <v>37</v>
      </c>
      <c r="D112" s="21" t="s">
        <v>163</v>
      </c>
      <c r="E112" s="21" t="s">
        <v>174</v>
      </c>
      <c r="F112" s="21" t="s">
        <v>1024</v>
      </c>
      <c r="G112" s="21" t="s">
        <v>34</v>
      </c>
      <c r="H112" s="23" t="s">
        <v>43</v>
      </c>
    </row>
    <row r="113" spans="1:8" x14ac:dyDescent="0.25">
      <c r="A113" s="20" t="s">
        <v>861</v>
      </c>
      <c r="B113" s="17" t="s">
        <v>177</v>
      </c>
      <c r="C113" s="21" t="s">
        <v>37</v>
      </c>
      <c r="D113" s="21" t="s">
        <v>163</v>
      </c>
      <c r="E113" s="21" t="s">
        <v>178</v>
      </c>
      <c r="F113" s="21" t="s">
        <v>1024</v>
      </c>
      <c r="G113" s="21" t="s">
        <v>34</v>
      </c>
      <c r="H113" s="23" t="s">
        <v>32</v>
      </c>
    </row>
    <row r="114" spans="1:8" x14ac:dyDescent="0.25">
      <c r="A114" s="20" t="s">
        <v>180</v>
      </c>
      <c r="B114" s="17" t="s">
        <v>181</v>
      </c>
      <c r="C114" s="21" t="s">
        <v>37</v>
      </c>
      <c r="D114" s="21" t="s">
        <v>163</v>
      </c>
      <c r="E114" s="21" t="s">
        <v>179</v>
      </c>
      <c r="F114" s="21" t="s">
        <v>1024</v>
      </c>
      <c r="G114" s="21" t="s">
        <v>34</v>
      </c>
      <c r="H114" s="23" t="s">
        <v>43</v>
      </c>
    </row>
    <row r="115" spans="1:8" x14ac:dyDescent="0.25">
      <c r="A115" s="20" t="s">
        <v>667</v>
      </c>
      <c r="B115" s="17" t="s">
        <v>668</v>
      </c>
      <c r="D115" s="21" t="s">
        <v>163</v>
      </c>
      <c r="E115" s="21" t="s">
        <v>184</v>
      </c>
      <c r="F115" s="21" t="s">
        <v>1025</v>
      </c>
      <c r="G115" s="21" t="s">
        <v>548</v>
      </c>
      <c r="H115" s="23" t="s">
        <v>32</v>
      </c>
    </row>
    <row r="116" spans="1:8" x14ac:dyDescent="0.25">
      <c r="A116" s="20" t="s">
        <v>182</v>
      </c>
      <c r="B116" s="17" t="s">
        <v>183</v>
      </c>
      <c r="C116" s="21" t="s">
        <v>37</v>
      </c>
      <c r="D116" s="21" t="s">
        <v>163</v>
      </c>
      <c r="E116" s="21" t="s">
        <v>184</v>
      </c>
      <c r="F116" s="21" t="s">
        <v>1024</v>
      </c>
      <c r="G116" s="21" t="s">
        <v>34</v>
      </c>
      <c r="H116" s="23" t="s">
        <v>43</v>
      </c>
    </row>
    <row r="117" spans="1:8" x14ac:dyDescent="0.25">
      <c r="A117" s="20" t="s">
        <v>185</v>
      </c>
      <c r="B117" s="17" t="s">
        <v>186</v>
      </c>
      <c r="C117" s="21" t="s">
        <v>37</v>
      </c>
      <c r="D117" s="21" t="s">
        <v>163</v>
      </c>
      <c r="E117" s="21" t="s">
        <v>187</v>
      </c>
      <c r="F117" s="21" t="s">
        <v>1024</v>
      </c>
      <c r="G117" s="21" t="s">
        <v>34</v>
      </c>
      <c r="H117" s="23" t="s">
        <v>32</v>
      </c>
    </row>
    <row r="118" spans="1:8" x14ac:dyDescent="0.25">
      <c r="A118" s="20" t="s">
        <v>189</v>
      </c>
      <c r="B118" s="17" t="s">
        <v>190</v>
      </c>
      <c r="C118" s="21" t="s">
        <v>37</v>
      </c>
      <c r="D118" s="21" t="s">
        <v>163</v>
      </c>
      <c r="E118" s="21" t="s">
        <v>188</v>
      </c>
      <c r="F118" s="21" t="s">
        <v>1024</v>
      </c>
      <c r="G118" s="21" t="s">
        <v>34</v>
      </c>
      <c r="H118" s="23" t="s">
        <v>43</v>
      </c>
    </row>
    <row r="119" spans="1:8" x14ac:dyDescent="0.25">
      <c r="A119" s="20" t="s">
        <v>862</v>
      </c>
      <c r="B119" s="17" t="s">
        <v>193</v>
      </c>
      <c r="C119" s="21" t="s">
        <v>37</v>
      </c>
      <c r="D119" s="21" t="s">
        <v>191</v>
      </c>
      <c r="E119" s="21" t="s">
        <v>192</v>
      </c>
      <c r="F119" s="21" t="s">
        <v>801</v>
      </c>
      <c r="G119" s="21" t="s">
        <v>34</v>
      </c>
      <c r="H119" s="23" t="s">
        <v>32</v>
      </c>
    </row>
    <row r="120" spans="1:8" x14ac:dyDescent="0.25">
      <c r="A120" s="20" t="s">
        <v>560</v>
      </c>
      <c r="B120" s="17" t="s">
        <v>561</v>
      </c>
      <c r="D120" s="21" t="s">
        <v>191</v>
      </c>
      <c r="E120" s="21" t="s">
        <v>196</v>
      </c>
      <c r="F120" s="21" t="s">
        <v>1025</v>
      </c>
      <c r="G120" s="21" t="s">
        <v>1098</v>
      </c>
      <c r="H120" s="23" t="s">
        <v>32</v>
      </c>
    </row>
    <row r="121" spans="1:8" x14ac:dyDescent="0.25">
      <c r="A121" s="20" t="s">
        <v>197</v>
      </c>
      <c r="B121" s="17" t="s">
        <v>198</v>
      </c>
      <c r="C121" s="21" t="s">
        <v>1023</v>
      </c>
      <c r="D121" s="21" t="s">
        <v>191</v>
      </c>
      <c r="E121" s="21" t="s">
        <v>196</v>
      </c>
      <c r="F121" s="21" t="s">
        <v>801</v>
      </c>
      <c r="G121" s="21" t="s">
        <v>34</v>
      </c>
      <c r="H121" s="23" t="s">
        <v>35</v>
      </c>
    </row>
    <row r="122" spans="1:8" x14ac:dyDescent="0.25">
      <c r="A122" s="20" t="s">
        <v>194</v>
      </c>
      <c r="B122" s="17" t="s">
        <v>195</v>
      </c>
      <c r="C122" s="21" t="s">
        <v>37</v>
      </c>
      <c r="D122" s="21" t="s">
        <v>191</v>
      </c>
      <c r="E122" s="21" t="s">
        <v>196</v>
      </c>
      <c r="F122" s="21" t="s">
        <v>801</v>
      </c>
      <c r="G122" s="21" t="s">
        <v>34</v>
      </c>
      <c r="H122" s="23" t="s">
        <v>32</v>
      </c>
    </row>
    <row r="123" spans="1:8" x14ac:dyDescent="0.25">
      <c r="A123" s="20" t="s">
        <v>572</v>
      </c>
      <c r="B123" s="17" t="s">
        <v>573</v>
      </c>
      <c r="D123" s="21" t="s">
        <v>191</v>
      </c>
      <c r="E123" s="21" t="s">
        <v>196</v>
      </c>
      <c r="F123" s="21" t="s">
        <v>1025</v>
      </c>
      <c r="G123" s="21" t="s">
        <v>1098</v>
      </c>
      <c r="H123" s="23" t="s">
        <v>32</v>
      </c>
    </row>
    <row r="124" spans="1:8" x14ac:dyDescent="0.25">
      <c r="A124" s="20" t="s">
        <v>863</v>
      </c>
      <c r="B124" s="17" t="s">
        <v>200</v>
      </c>
      <c r="C124" s="21" t="s">
        <v>37</v>
      </c>
      <c r="D124" s="21" t="s">
        <v>191</v>
      </c>
      <c r="E124" s="21" t="s">
        <v>199</v>
      </c>
      <c r="F124" s="21" t="s">
        <v>801</v>
      </c>
      <c r="G124" s="21" t="s">
        <v>34</v>
      </c>
      <c r="H124" s="23" t="s">
        <v>32</v>
      </c>
    </row>
    <row r="125" spans="1:8" x14ac:dyDescent="0.25">
      <c r="A125" s="20" t="s">
        <v>629</v>
      </c>
      <c r="B125" s="17" t="s">
        <v>630</v>
      </c>
      <c r="C125" s="21" t="s">
        <v>37</v>
      </c>
      <c r="D125" s="21" t="s">
        <v>191</v>
      </c>
      <c r="E125" s="21" t="s">
        <v>201</v>
      </c>
      <c r="F125" s="21" t="s">
        <v>801</v>
      </c>
      <c r="G125" s="21" t="s">
        <v>34</v>
      </c>
      <c r="H125" s="23" t="s">
        <v>43</v>
      </c>
    </row>
    <row r="126" spans="1:8" x14ac:dyDescent="0.25">
      <c r="A126" s="20" t="s">
        <v>864</v>
      </c>
      <c r="B126" s="17" t="s">
        <v>740</v>
      </c>
      <c r="C126" s="21" t="s">
        <v>37</v>
      </c>
      <c r="D126" s="21" t="s">
        <v>191</v>
      </c>
      <c r="E126" s="21" t="s">
        <v>788</v>
      </c>
      <c r="F126" s="21" t="s">
        <v>801</v>
      </c>
      <c r="G126" s="21" t="s">
        <v>34</v>
      </c>
      <c r="H126" s="23" t="s">
        <v>43</v>
      </c>
    </row>
    <row r="127" spans="1:8" x14ac:dyDescent="0.25">
      <c r="A127" s="20" t="s">
        <v>865</v>
      </c>
      <c r="B127" s="17" t="s">
        <v>741</v>
      </c>
      <c r="C127" s="21" t="s">
        <v>37</v>
      </c>
      <c r="D127" s="21" t="s">
        <v>191</v>
      </c>
      <c r="E127" s="21" t="s">
        <v>202</v>
      </c>
      <c r="F127" s="21" t="s">
        <v>801</v>
      </c>
      <c r="G127" s="21" t="s">
        <v>34</v>
      </c>
      <c r="H127" s="23" t="s">
        <v>32</v>
      </c>
    </row>
    <row r="128" spans="1:8" x14ac:dyDescent="0.25">
      <c r="A128" s="20" t="s">
        <v>866</v>
      </c>
      <c r="B128" s="17" t="s">
        <v>203</v>
      </c>
      <c r="C128" s="21" t="s">
        <v>37</v>
      </c>
      <c r="D128" s="21" t="s">
        <v>191</v>
      </c>
      <c r="E128" s="21" t="s">
        <v>202</v>
      </c>
      <c r="F128" s="21" t="s">
        <v>801</v>
      </c>
      <c r="G128" s="21" t="s">
        <v>34</v>
      </c>
      <c r="H128" s="23" t="s">
        <v>32</v>
      </c>
    </row>
    <row r="129" spans="1:8" x14ac:dyDescent="0.25">
      <c r="A129" s="20" t="s">
        <v>867</v>
      </c>
      <c r="B129" s="17" t="s">
        <v>1041</v>
      </c>
      <c r="C129" s="21" t="s">
        <v>37</v>
      </c>
      <c r="D129" s="21" t="s">
        <v>191</v>
      </c>
      <c r="E129" s="21" t="s">
        <v>1014</v>
      </c>
      <c r="F129" s="21" t="s">
        <v>801</v>
      </c>
      <c r="G129" s="21" t="s">
        <v>34</v>
      </c>
      <c r="H129" s="23" t="s">
        <v>32</v>
      </c>
    </row>
    <row r="130" spans="1:8" x14ac:dyDescent="0.25">
      <c r="A130" s="20" t="s">
        <v>868</v>
      </c>
      <c r="B130" s="17" t="s">
        <v>1042</v>
      </c>
      <c r="C130" s="21" t="s">
        <v>37</v>
      </c>
      <c r="D130" s="21" t="s">
        <v>191</v>
      </c>
      <c r="E130" s="21" t="s">
        <v>1014</v>
      </c>
      <c r="F130" s="21" t="s">
        <v>801</v>
      </c>
      <c r="G130" s="21" t="s">
        <v>34</v>
      </c>
      <c r="H130" s="23" t="s">
        <v>43</v>
      </c>
    </row>
    <row r="131" spans="1:8" x14ac:dyDescent="0.25">
      <c r="A131" s="20" t="s">
        <v>869</v>
      </c>
      <c r="B131" s="17" t="s">
        <v>742</v>
      </c>
      <c r="C131" s="21" t="s">
        <v>37</v>
      </c>
      <c r="D131" s="21" t="s">
        <v>191</v>
      </c>
      <c r="E131" s="21" t="s">
        <v>789</v>
      </c>
      <c r="F131" s="21" t="s">
        <v>801</v>
      </c>
      <c r="G131" s="21" t="s">
        <v>34</v>
      </c>
      <c r="H131" s="23" t="s">
        <v>32</v>
      </c>
    </row>
    <row r="132" spans="1:8" x14ac:dyDescent="0.25">
      <c r="A132" s="20" t="s">
        <v>870</v>
      </c>
      <c r="B132" s="17" t="s">
        <v>205</v>
      </c>
      <c r="C132" s="21" t="s">
        <v>37</v>
      </c>
      <c r="D132" s="21" t="s">
        <v>191</v>
      </c>
      <c r="E132" s="21" t="s">
        <v>204</v>
      </c>
      <c r="F132" s="21" t="s">
        <v>801</v>
      </c>
      <c r="G132" s="21" t="s">
        <v>34</v>
      </c>
      <c r="H132" s="23" t="s">
        <v>43</v>
      </c>
    </row>
    <row r="133" spans="1:8" x14ac:dyDescent="0.25">
      <c r="A133" s="20" t="s">
        <v>631</v>
      </c>
      <c r="B133" s="17" t="s">
        <v>632</v>
      </c>
      <c r="D133" s="21" t="s">
        <v>191</v>
      </c>
      <c r="E133" s="21" t="s">
        <v>204</v>
      </c>
      <c r="F133" s="21" t="s">
        <v>1025</v>
      </c>
      <c r="G133" s="21" t="s">
        <v>548</v>
      </c>
      <c r="H133" s="23" t="s">
        <v>32</v>
      </c>
    </row>
    <row r="134" spans="1:8" x14ac:dyDescent="0.25">
      <c r="A134" s="20" t="s">
        <v>871</v>
      </c>
      <c r="B134" s="17" t="s">
        <v>209</v>
      </c>
      <c r="C134" s="21" t="s">
        <v>37</v>
      </c>
      <c r="D134" s="21" t="s">
        <v>207</v>
      </c>
      <c r="E134" s="21" t="s">
        <v>208</v>
      </c>
      <c r="F134" s="21" t="s">
        <v>801</v>
      </c>
      <c r="G134" s="21" t="s">
        <v>34</v>
      </c>
      <c r="H134" s="23" t="s">
        <v>43</v>
      </c>
    </row>
    <row r="135" spans="1:8" x14ac:dyDescent="0.25">
      <c r="A135" s="20" t="s">
        <v>872</v>
      </c>
      <c r="B135" s="17" t="s">
        <v>743</v>
      </c>
      <c r="D135" s="21" t="s">
        <v>207</v>
      </c>
      <c r="E135" s="21" t="s">
        <v>790</v>
      </c>
      <c r="F135" s="21" t="s">
        <v>1025</v>
      </c>
      <c r="G135" s="21" t="s">
        <v>1098</v>
      </c>
      <c r="H135" s="23" t="s">
        <v>32</v>
      </c>
    </row>
    <row r="136" spans="1:8" x14ac:dyDescent="0.25">
      <c r="A136" s="20" t="s">
        <v>210</v>
      </c>
      <c r="B136" s="17" t="s">
        <v>211</v>
      </c>
      <c r="C136" s="21" t="s">
        <v>37</v>
      </c>
      <c r="D136" s="21" t="s">
        <v>207</v>
      </c>
      <c r="E136" s="21" t="s">
        <v>212</v>
      </c>
      <c r="F136" s="21" t="s">
        <v>801</v>
      </c>
      <c r="G136" s="21" t="s">
        <v>34</v>
      </c>
      <c r="H136" s="23" t="s">
        <v>43</v>
      </c>
    </row>
    <row r="137" spans="1:8" x14ac:dyDescent="0.25">
      <c r="A137" s="20" t="s">
        <v>654</v>
      </c>
      <c r="B137" s="17" t="s">
        <v>655</v>
      </c>
      <c r="D137" s="21" t="s">
        <v>207</v>
      </c>
      <c r="E137" s="21" t="s">
        <v>212</v>
      </c>
      <c r="F137" s="21" t="s">
        <v>1025</v>
      </c>
      <c r="G137" s="21" t="s">
        <v>548</v>
      </c>
      <c r="H137" s="23" t="s">
        <v>32</v>
      </c>
    </row>
    <row r="138" spans="1:8" x14ac:dyDescent="0.25">
      <c r="A138" s="20" t="s">
        <v>873</v>
      </c>
      <c r="B138" s="17" t="s">
        <v>215</v>
      </c>
      <c r="C138" s="21" t="s">
        <v>37</v>
      </c>
      <c r="D138" s="21" t="s">
        <v>213</v>
      </c>
      <c r="E138" s="21" t="s">
        <v>214</v>
      </c>
      <c r="F138" s="21" t="s">
        <v>801</v>
      </c>
      <c r="G138" s="21" t="s">
        <v>34</v>
      </c>
      <c r="H138" s="23" t="s">
        <v>43</v>
      </c>
    </row>
    <row r="139" spans="1:8" x14ac:dyDescent="0.25">
      <c r="A139" s="20" t="s">
        <v>874</v>
      </c>
      <c r="B139" s="17" t="s">
        <v>1043</v>
      </c>
      <c r="C139" s="21" t="s">
        <v>37</v>
      </c>
      <c r="D139" s="21" t="s">
        <v>213</v>
      </c>
      <c r="E139" s="21" t="s">
        <v>1015</v>
      </c>
      <c r="F139" s="21" t="s">
        <v>801</v>
      </c>
      <c r="G139" s="21" t="s">
        <v>34</v>
      </c>
      <c r="H139" s="23" t="s">
        <v>32</v>
      </c>
    </row>
    <row r="140" spans="1:8" x14ac:dyDescent="0.25">
      <c r="A140" s="20" t="s">
        <v>875</v>
      </c>
      <c r="B140" s="17" t="s">
        <v>744</v>
      </c>
      <c r="C140" s="21" t="s">
        <v>37</v>
      </c>
      <c r="D140" s="21" t="s">
        <v>213</v>
      </c>
      <c r="E140" s="21" t="s">
        <v>216</v>
      </c>
      <c r="F140" s="21" t="s">
        <v>801</v>
      </c>
      <c r="G140" s="21" t="s">
        <v>34</v>
      </c>
      <c r="H140" s="23" t="s">
        <v>32</v>
      </c>
    </row>
    <row r="141" spans="1:8" x14ac:dyDescent="0.25">
      <c r="A141" s="20" t="s">
        <v>217</v>
      </c>
      <c r="B141" s="17" t="s">
        <v>218</v>
      </c>
      <c r="C141" s="21" t="s">
        <v>37</v>
      </c>
      <c r="D141" s="21" t="s">
        <v>213</v>
      </c>
      <c r="E141" s="21" t="s">
        <v>216</v>
      </c>
      <c r="F141" s="21" t="s">
        <v>801</v>
      </c>
      <c r="G141" s="21" t="s">
        <v>34</v>
      </c>
      <c r="H141" s="23" t="s">
        <v>43</v>
      </c>
    </row>
    <row r="142" spans="1:8" x14ac:dyDescent="0.25">
      <c r="A142" s="20" t="s">
        <v>876</v>
      </c>
      <c r="B142" s="17" t="s">
        <v>745</v>
      </c>
      <c r="D142" s="21" t="s">
        <v>213</v>
      </c>
      <c r="E142" s="21" t="s">
        <v>221</v>
      </c>
      <c r="F142" s="21" t="s">
        <v>1025</v>
      </c>
      <c r="G142" s="21" t="s">
        <v>1097</v>
      </c>
      <c r="H142" s="23" t="s">
        <v>32</v>
      </c>
    </row>
    <row r="143" spans="1:8" x14ac:dyDescent="0.25">
      <c r="A143" s="20" t="s">
        <v>219</v>
      </c>
      <c r="B143" s="17" t="s">
        <v>220</v>
      </c>
      <c r="C143" s="21" t="s">
        <v>1023</v>
      </c>
      <c r="D143" s="21" t="s">
        <v>213</v>
      </c>
      <c r="E143" s="21" t="s">
        <v>221</v>
      </c>
      <c r="F143" s="21" t="s">
        <v>801</v>
      </c>
      <c r="G143" s="21" t="s">
        <v>34</v>
      </c>
      <c r="H143" s="23" t="s">
        <v>43</v>
      </c>
    </row>
    <row r="144" spans="1:8" x14ac:dyDescent="0.25">
      <c r="A144" s="20" t="s">
        <v>222</v>
      </c>
      <c r="B144" s="17" t="s">
        <v>223</v>
      </c>
      <c r="C144" s="21" t="s">
        <v>37</v>
      </c>
      <c r="D144" s="21" t="s">
        <v>213</v>
      </c>
      <c r="E144" s="21" t="s">
        <v>224</v>
      </c>
      <c r="F144" s="21" t="s">
        <v>801</v>
      </c>
      <c r="G144" s="21" t="s">
        <v>34</v>
      </c>
      <c r="H144" s="23" t="s">
        <v>43</v>
      </c>
    </row>
    <row r="145" spans="1:8" x14ac:dyDescent="0.25">
      <c r="A145" s="20" t="s">
        <v>877</v>
      </c>
      <c r="B145" s="17" t="s">
        <v>1067</v>
      </c>
      <c r="D145" s="21" t="s">
        <v>213</v>
      </c>
      <c r="E145" s="21" t="s">
        <v>224</v>
      </c>
      <c r="F145" s="21" t="s">
        <v>1025</v>
      </c>
      <c r="G145" s="21" t="s">
        <v>1097</v>
      </c>
      <c r="H145" s="23" t="s">
        <v>32</v>
      </c>
    </row>
    <row r="146" spans="1:8" x14ac:dyDescent="0.25">
      <c r="A146" s="20" t="s">
        <v>878</v>
      </c>
      <c r="B146" s="17" t="s">
        <v>746</v>
      </c>
      <c r="D146" s="21" t="s">
        <v>213</v>
      </c>
      <c r="E146" s="21" t="s">
        <v>224</v>
      </c>
      <c r="F146" s="21" t="s">
        <v>1025</v>
      </c>
      <c r="G146" s="21" t="s">
        <v>1097</v>
      </c>
      <c r="H146" s="23" t="s">
        <v>32</v>
      </c>
    </row>
    <row r="147" spans="1:8" x14ac:dyDescent="0.25">
      <c r="A147" s="20" t="s">
        <v>225</v>
      </c>
      <c r="B147" s="17" t="s">
        <v>226</v>
      </c>
      <c r="C147" s="21" t="s">
        <v>37</v>
      </c>
      <c r="D147" s="21" t="s">
        <v>213</v>
      </c>
      <c r="E147" s="21" t="s">
        <v>224</v>
      </c>
      <c r="F147" s="21" t="s">
        <v>801</v>
      </c>
      <c r="G147" s="21" t="s">
        <v>34</v>
      </c>
      <c r="H147" s="23" t="s">
        <v>43</v>
      </c>
    </row>
    <row r="148" spans="1:8" x14ac:dyDescent="0.25">
      <c r="A148" s="20" t="s">
        <v>879</v>
      </c>
      <c r="B148" s="17" t="s">
        <v>747</v>
      </c>
      <c r="C148" s="21" t="s">
        <v>37</v>
      </c>
      <c r="D148" s="21" t="s">
        <v>213</v>
      </c>
      <c r="E148" s="21" t="s">
        <v>224</v>
      </c>
      <c r="F148" s="21" t="s">
        <v>801</v>
      </c>
      <c r="G148" s="21" t="s">
        <v>34</v>
      </c>
      <c r="H148" s="23" t="s">
        <v>32</v>
      </c>
    </row>
    <row r="149" spans="1:8" x14ac:dyDescent="0.25">
      <c r="A149" s="20" t="s">
        <v>570</v>
      </c>
      <c r="B149" s="17" t="s">
        <v>571</v>
      </c>
      <c r="D149" s="21" t="s">
        <v>213</v>
      </c>
      <c r="E149" s="21" t="s">
        <v>224</v>
      </c>
      <c r="F149" s="21" t="s">
        <v>1025</v>
      </c>
      <c r="G149" s="21" t="s">
        <v>1097</v>
      </c>
      <c r="H149" s="23" t="s">
        <v>32</v>
      </c>
    </row>
    <row r="150" spans="1:8" x14ac:dyDescent="0.25">
      <c r="A150" s="20" t="s">
        <v>700</v>
      </c>
      <c r="B150" s="17" t="s">
        <v>701</v>
      </c>
      <c r="D150" s="21" t="s">
        <v>213</v>
      </c>
      <c r="E150" s="21" t="s">
        <v>224</v>
      </c>
      <c r="F150" s="21" t="s">
        <v>1025</v>
      </c>
      <c r="G150" s="21" t="s">
        <v>1098</v>
      </c>
      <c r="H150" s="23" t="s">
        <v>32</v>
      </c>
    </row>
    <row r="151" spans="1:8" x14ac:dyDescent="0.25">
      <c r="A151" s="20" t="s">
        <v>880</v>
      </c>
      <c r="B151" s="17" t="s">
        <v>1068</v>
      </c>
      <c r="D151" s="21" t="s">
        <v>213</v>
      </c>
      <c r="E151" s="21" t="s">
        <v>224</v>
      </c>
      <c r="F151" s="21" t="s">
        <v>1025</v>
      </c>
      <c r="G151" s="21" t="s">
        <v>1098</v>
      </c>
      <c r="H151" s="23" t="s">
        <v>32</v>
      </c>
    </row>
    <row r="152" spans="1:8" x14ac:dyDescent="0.25">
      <c r="A152" s="20" t="s">
        <v>228</v>
      </c>
      <c r="B152" s="17" t="s">
        <v>229</v>
      </c>
      <c r="C152" s="21" t="s">
        <v>37</v>
      </c>
      <c r="D152" s="21" t="s">
        <v>213</v>
      </c>
      <c r="E152" s="21" t="s">
        <v>227</v>
      </c>
      <c r="F152" s="21" t="s">
        <v>801</v>
      </c>
      <c r="G152" s="21" t="s">
        <v>34</v>
      </c>
      <c r="H152" s="23" t="s">
        <v>43</v>
      </c>
    </row>
    <row r="153" spans="1:8" x14ac:dyDescent="0.25">
      <c r="A153" s="20" t="s">
        <v>881</v>
      </c>
      <c r="B153" s="17" t="s">
        <v>1044</v>
      </c>
      <c r="C153" s="21" t="s">
        <v>37</v>
      </c>
      <c r="D153" s="21" t="s">
        <v>230</v>
      </c>
      <c r="E153" s="21" t="s">
        <v>1016</v>
      </c>
      <c r="F153" s="21" t="s">
        <v>1024</v>
      </c>
      <c r="G153" s="21" t="s">
        <v>34</v>
      </c>
      <c r="H153" s="23" t="s">
        <v>43</v>
      </c>
    </row>
    <row r="154" spans="1:8" x14ac:dyDescent="0.25">
      <c r="A154" s="20" t="s">
        <v>882</v>
      </c>
      <c r="B154" s="17" t="s">
        <v>748</v>
      </c>
      <c r="D154" s="21" t="s">
        <v>230</v>
      </c>
      <c r="E154" s="21" t="s">
        <v>233</v>
      </c>
      <c r="F154" s="21" t="s">
        <v>1025</v>
      </c>
      <c r="G154" s="21" t="s">
        <v>1097</v>
      </c>
      <c r="H154" s="23" t="s">
        <v>32</v>
      </c>
    </row>
    <row r="155" spans="1:8" x14ac:dyDescent="0.25">
      <c r="A155" s="20" t="s">
        <v>231</v>
      </c>
      <c r="B155" s="17" t="s">
        <v>232</v>
      </c>
      <c r="C155" s="21" t="s">
        <v>37</v>
      </c>
      <c r="D155" s="21" t="s">
        <v>230</v>
      </c>
      <c r="E155" s="21" t="s">
        <v>233</v>
      </c>
      <c r="F155" s="21" t="s">
        <v>1024</v>
      </c>
      <c r="G155" s="21" t="s">
        <v>34</v>
      </c>
      <c r="H155" s="23" t="s">
        <v>206</v>
      </c>
    </row>
    <row r="156" spans="1:8" x14ac:dyDescent="0.25">
      <c r="A156" s="20" t="s">
        <v>234</v>
      </c>
      <c r="B156" s="17" t="s">
        <v>235</v>
      </c>
      <c r="C156" s="21" t="s">
        <v>37</v>
      </c>
      <c r="D156" s="21" t="s">
        <v>230</v>
      </c>
      <c r="E156" s="21" t="s">
        <v>233</v>
      </c>
      <c r="F156" s="21" t="s">
        <v>1024</v>
      </c>
      <c r="G156" s="21" t="s">
        <v>34</v>
      </c>
      <c r="H156" s="23" t="s">
        <v>43</v>
      </c>
    </row>
    <row r="157" spans="1:8" x14ac:dyDescent="0.25">
      <c r="A157" s="20" t="s">
        <v>883</v>
      </c>
      <c r="B157" s="17" t="s">
        <v>1045</v>
      </c>
      <c r="C157" s="21" t="s">
        <v>37</v>
      </c>
      <c r="D157" s="21" t="s">
        <v>236</v>
      </c>
      <c r="E157" s="21" t="s">
        <v>1017</v>
      </c>
      <c r="F157" s="21" t="s">
        <v>1026</v>
      </c>
      <c r="G157" s="21" t="s">
        <v>34</v>
      </c>
      <c r="H157" s="23" t="s">
        <v>43</v>
      </c>
    </row>
    <row r="158" spans="1:8" x14ac:dyDescent="0.25">
      <c r="A158" s="20" t="s">
        <v>884</v>
      </c>
      <c r="B158" s="17" t="s">
        <v>1046</v>
      </c>
      <c r="C158" s="21" t="s">
        <v>37</v>
      </c>
      <c r="D158" s="21" t="s">
        <v>236</v>
      </c>
      <c r="E158" s="21" t="s">
        <v>1018</v>
      </c>
      <c r="F158" s="21" t="s">
        <v>1026</v>
      </c>
      <c r="G158" s="21" t="s">
        <v>34</v>
      </c>
      <c r="H158" s="23" t="s">
        <v>32</v>
      </c>
    </row>
    <row r="159" spans="1:8" x14ac:dyDescent="0.25">
      <c r="A159" s="20" t="s">
        <v>885</v>
      </c>
      <c r="B159" s="17" t="s">
        <v>238</v>
      </c>
      <c r="C159" s="21" t="s">
        <v>37</v>
      </c>
      <c r="D159" s="21" t="s">
        <v>236</v>
      </c>
      <c r="E159" s="21" t="s">
        <v>237</v>
      </c>
      <c r="F159" s="21" t="s">
        <v>1026</v>
      </c>
      <c r="G159" s="21" t="s">
        <v>34</v>
      </c>
      <c r="H159" s="23" t="s">
        <v>43</v>
      </c>
    </row>
    <row r="160" spans="1:8" x14ac:dyDescent="0.25">
      <c r="A160" s="20" t="s">
        <v>598</v>
      </c>
      <c r="B160" s="17" t="s">
        <v>599</v>
      </c>
      <c r="D160" s="21" t="s">
        <v>236</v>
      </c>
      <c r="E160" s="21" t="s">
        <v>239</v>
      </c>
      <c r="F160" s="21" t="s">
        <v>1025</v>
      </c>
      <c r="G160" s="21" t="s">
        <v>1098</v>
      </c>
      <c r="H160" s="23" t="s">
        <v>32</v>
      </c>
    </row>
    <row r="161" spans="1:8" x14ac:dyDescent="0.25">
      <c r="A161" s="20" t="s">
        <v>552</v>
      </c>
      <c r="B161" s="17" t="s">
        <v>553</v>
      </c>
      <c r="D161" s="21" t="s">
        <v>236</v>
      </c>
      <c r="E161" s="21" t="s">
        <v>239</v>
      </c>
      <c r="F161" s="21" t="s">
        <v>1025</v>
      </c>
      <c r="G161" s="21" t="s">
        <v>548</v>
      </c>
      <c r="H161" s="23" t="s">
        <v>32</v>
      </c>
    </row>
    <row r="162" spans="1:8" x14ac:dyDescent="0.25">
      <c r="A162" s="20" t="s">
        <v>621</v>
      </c>
      <c r="B162" s="17" t="s">
        <v>622</v>
      </c>
      <c r="D162" s="21" t="s">
        <v>236</v>
      </c>
      <c r="E162" s="21" t="s">
        <v>239</v>
      </c>
      <c r="F162" s="21" t="s">
        <v>1025</v>
      </c>
      <c r="G162" s="21" t="s">
        <v>548</v>
      </c>
      <c r="H162" s="23" t="s">
        <v>32</v>
      </c>
    </row>
    <row r="163" spans="1:8" x14ac:dyDescent="0.25">
      <c r="A163" s="20" t="s">
        <v>886</v>
      </c>
      <c r="B163" s="17" t="s">
        <v>674</v>
      </c>
      <c r="D163" s="21" t="s">
        <v>236</v>
      </c>
      <c r="E163" s="21" t="s">
        <v>239</v>
      </c>
      <c r="F163" s="21" t="s">
        <v>1025</v>
      </c>
      <c r="G163" s="21" t="s">
        <v>1097</v>
      </c>
      <c r="H163" s="23" t="s">
        <v>32</v>
      </c>
    </row>
    <row r="164" spans="1:8" x14ac:dyDescent="0.25">
      <c r="A164" s="20" t="s">
        <v>240</v>
      </c>
      <c r="B164" s="17" t="s">
        <v>241</v>
      </c>
      <c r="C164" s="21" t="s">
        <v>1023</v>
      </c>
      <c r="D164" s="21" t="s">
        <v>236</v>
      </c>
      <c r="E164" s="21" t="s">
        <v>239</v>
      </c>
      <c r="F164" s="21" t="s">
        <v>1026</v>
      </c>
      <c r="G164" s="21" t="s">
        <v>34</v>
      </c>
      <c r="H164" s="23" t="s">
        <v>43</v>
      </c>
    </row>
    <row r="165" spans="1:8" x14ac:dyDescent="0.25">
      <c r="A165" s="20" t="s">
        <v>702</v>
      </c>
      <c r="B165" s="17" t="s">
        <v>703</v>
      </c>
      <c r="D165" s="21" t="s">
        <v>236</v>
      </c>
      <c r="E165" s="21" t="s">
        <v>239</v>
      </c>
      <c r="F165" s="21" t="s">
        <v>1025</v>
      </c>
      <c r="G165" s="21" t="s">
        <v>548</v>
      </c>
      <c r="H165" s="23" t="s">
        <v>32</v>
      </c>
    </row>
    <row r="166" spans="1:8" x14ac:dyDescent="0.25">
      <c r="A166" s="20" t="s">
        <v>887</v>
      </c>
      <c r="B166" s="17" t="s">
        <v>707</v>
      </c>
      <c r="D166" s="21" t="s">
        <v>236</v>
      </c>
      <c r="E166" s="21" t="s">
        <v>239</v>
      </c>
      <c r="F166" s="21" t="s">
        <v>1025</v>
      </c>
      <c r="G166" s="21" t="s">
        <v>1098</v>
      </c>
      <c r="H166" s="23" t="s">
        <v>32</v>
      </c>
    </row>
    <row r="167" spans="1:8" x14ac:dyDescent="0.25">
      <c r="A167" s="20" t="s">
        <v>659</v>
      </c>
      <c r="B167" s="17" t="s">
        <v>660</v>
      </c>
      <c r="D167" s="21" t="s">
        <v>236</v>
      </c>
      <c r="E167" s="21" t="s">
        <v>239</v>
      </c>
      <c r="F167" s="21" t="s">
        <v>1025</v>
      </c>
      <c r="G167" s="21" t="s">
        <v>1097</v>
      </c>
      <c r="H167" s="23" t="s">
        <v>32</v>
      </c>
    </row>
    <row r="168" spans="1:8" x14ac:dyDescent="0.25">
      <c r="A168" s="20" t="s">
        <v>578</v>
      </c>
      <c r="B168" s="17" t="s">
        <v>749</v>
      </c>
      <c r="D168" s="21" t="s">
        <v>236</v>
      </c>
      <c r="E168" s="21" t="s">
        <v>239</v>
      </c>
      <c r="F168" s="21" t="s">
        <v>1025</v>
      </c>
      <c r="G168" s="21" t="s">
        <v>1097</v>
      </c>
      <c r="H168" s="23" t="s">
        <v>32</v>
      </c>
    </row>
    <row r="169" spans="1:8" x14ac:dyDescent="0.25">
      <c r="A169" s="20" t="s">
        <v>888</v>
      </c>
      <c r="B169" s="17" t="s">
        <v>699</v>
      </c>
      <c r="D169" s="21" t="s">
        <v>236</v>
      </c>
      <c r="E169" s="21" t="s">
        <v>242</v>
      </c>
      <c r="F169" s="21" t="s">
        <v>1025</v>
      </c>
      <c r="G169" s="21" t="s">
        <v>802</v>
      </c>
      <c r="H169" s="23" t="s">
        <v>43</v>
      </c>
    </row>
    <row r="170" spans="1:8" x14ac:dyDescent="0.25">
      <c r="A170" s="20" t="s">
        <v>889</v>
      </c>
      <c r="B170" s="17" t="s">
        <v>244</v>
      </c>
      <c r="C170" s="21" t="s">
        <v>37</v>
      </c>
      <c r="D170" s="21" t="s">
        <v>236</v>
      </c>
      <c r="E170" s="21" t="s">
        <v>243</v>
      </c>
      <c r="F170" s="21" t="s">
        <v>1026</v>
      </c>
      <c r="G170" s="21" t="s">
        <v>34</v>
      </c>
      <c r="H170" s="23" t="s">
        <v>43</v>
      </c>
    </row>
    <row r="171" spans="1:8" x14ac:dyDescent="0.25">
      <c r="A171" s="20" t="s">
        <v>890</v>
      </c>
      <c r="B171" s="17" t="s">
        <v>246</v>
      </c>
      <c r="C171" s="21" t="s">
        <v>37</v>
      </c>
      <c r="D171" s="21" t="s">
        <v>236</v>
      </c>
      <c r="E171" s="21" t="s">
        <v>245</v>
      </c>
      <c r="F171" s="21" t="s">
        <v>1026</v>
      </c>
      <c r="G171" s="21" t="s">
        <v>34</v>
      </c>
      <c r="H171" s="23" t="s">
        <v>43</v>
      </c>
    </row>
    <row r="172" spans="1:8" x14ac:dyDescent="0.25">
      <c r="A172" s="20" t="s">
        <v>891</v>
      </c>
      <c r="B172" s="17" t="s">
        <v>247</v>
      </c>
      <c r="C172" s="21" t="s">
        <v>37</v>
      </c>
      <c r="D172" s="21" t="s">
        <v>236</v>
      </c>
      <c r="E172" s="21" t="s">
        <v>248</v>
      </c>
      <c r="F172" s="21" t="s">
        <v>1026</v>
      </c>
      <c r="G172" s="21" t="s">
        <v>34</v>
      </c>
      <c r="H172" s="23" t="s">
        <v>43</v>
      </c>
    </row>
    <row r="173" spans="1:8" x14ac:dyDescent="0.25">
      <c r="A173" s="20" t="s">
        <v>250</v>
      </c>
      <c r="B173" s="17" t="s">
        <v>251</v>
      </c>
      <c r="C173" s="21" t="s">
        <v>1023</v>
      </c>
      <c r="D173" s="21" t="s">
        <v>236</v>
      </c>
      <c r="E173" s="21" t="s">
        <v>249</v>
      </c>
      <c r="F173" s="21" t="s">
        <v>1026</v>
      </c>
      <c r="G173" s="21" t="s">
        <v>34</v>
      </c>
      <c r="H173" s="23" t="s">
        <v>43</v>
      </c>
    </row>
    <row r="174" spans="1:8" x14ac:dyDescent="0.25">
      <c r="A174" s="20" t="s">
        <v>253</v>
      </c>
      <c r="B174" s="17" t="s">
        <v>254</v>
      </c>
      <c r="C174" s="21" t="s">
        <v>1023</v>
      </c>
      <c r="D174" s="21" t="s">
        <v>236</v>
      </c>
      <c r="E174" s="21" t="s">
        <v>252</v>
      </c>
      <c r="F174" s="21" t="s">
        <v>1026</v>
      </c>
      <c r="G174" s="21" t="s">
        <v>34</v>
      </c>
      <c r="H174" s="23" t="s">
        <v>43</v>
      </c>
    </row>
    <row r="175" spans="1:8" x14ac:dyDescent="0.25">
      <c r="A175" s="20" t="s">
        <v>586</v>
      </c>
      <c r="B175" s="17" t="s">
        <v>587</v>
      </c>
      <c r="D175" s="21" t="s">
        <v>236</v>
      </c>
      <c r="E175" s="21" t="s">
        <v>252</v>
      </c>
      <c r="F175" s="21" t="s">
        <v>1025</v>
      </c>
      <c r="G175" s="21" t="s">
        <v>1097</v>
      </c>
      <c r="H175" s="23" t="s">
        <v>32</v>
      </c>
    </row>
    <row r="176" spans="1:8" x14ac:dyDescent="0.25">
      <c r="A176" s="20" t="s">
        <v>892</v>
      </c>
      <c r="B176" s="17" t="s">
        <v>751</v>
      </c>
      <c r="C176" s="21" t="s">
        <v>37</v>
      </c>
      <c r="D176" s="21" t="s">
        <v>236</v>
      </c>
      <c r="E176" s="21" t="s">
        <v>256</v>
      </c>
      <c r="F176" s="21" t="s">
        <v>1026</v>
      </c>
      <c r="G176" s="21" t="s">
        <v>34</v>
      </c>
      <c r="H176" s="23" t="s">
        <v>32</v>
      </c>
    </row>
    <row r="177" spans="1:8" x14ac:dyDescent="0.25">
      <c r="A177" s="20" t="s">
        <v>255</v>
      </c>
      <c r="B177" s="17" t="s">
        <v>750</v>
      </c>
      <c r="C177" s="21" t="s">
        <v>37</v>
      </c>
      <c r="D177" s="21" t="s">
        <v>236</v>
      </c>
      <c r="E177" s="21" t="s">
        <v>256</v>
      </c>
      <c r="F177" s="21" t="s">
        <v>1026</v>
      </c>
      <c r="G177" s="21" t="s">
        <v>34</v>
      </c>
      <c r="H177" s="23" t="s">
        <v>43</v>
      </c>
    </row>
    <row r="178" spans="1:8" x14ac:dyDescent="0.25">
      <c r="A178" s="20" t="s">
        <v>893</v>
      </c>
      <c r="B178" s="17" t="s">
        <v>752</v>
      </c>
      <c r="D178" s="21" t="s">
        <v>236</v>
      </c>
      <c r="E178" s="21" t="s">
        <v>693</v>
      </c>
      <c r="F178" s="21" t="s">
        <v>1025</v>
      </c>
      <c r="G178" s="21" t="s">
        <v>1097</v>
      </c>
      <c r="H178" s="23" t="s">
        <v>32</v>
      </c>
    </row>
    <row r="179" spans="1:8" x14ac:dyDescent="0.25">
      <c r="A179" s="20" t="s">
        <v>258</v>
      </c>
      <c r="B179" s="17" t="s">
        <v>259</v>
      </c>
      <c r="C179" s="21" t="s">
        <v>37</v>
      </c>
      <c r="D179" s="21" t="s">
        <v>236</v>
      </c>
      <c r="E179" s="21" t="s">
        <v>257</v>
      </c>
      <c r="F179" s="21" t="s">
        <v>1026</v>
      </c>
      <c r="G179" s="21" t="s">
        <v>34</v>
      </c>
      <c r="H179" s="23" t="s">
        <v>43</v>
      </c>
    </row>
    <row r="180" spans="1:8" x14ac:dyDescent="0.25">
      <c r="A180" s="20" t="s">
        <v>894</v>
      </c>
      <c r="B180" s="17" t="s">
        <v>1047</v>
      </c>
      <c r="C180" s="21" t="s">
        <v>37</v>
      </c>
      <c r="D180" s="21" t="s">
        <v>236</v>
      </c>
      <c r="E180" s="21" t="s">
        <v>1019</v>
      </c>
      <c r="F180" s="21" t="s">
        <v>1026</v>
      </c>
      <c r="G180" s="21" t="s">
        <v>34</v>
      </c>
      <c r="H180" s="23" t="s">
        <v>43</v>
      </c>
    </row>
    <row r="181" spans="1:8" x14ac:dyDescent="0.25">
      <c r="A181" s="20" t="s">
        <v>260</v>
      </c>
      <c r="B181" s="17" t="s">
        <v>261</v>
      </c>
      <c r="C181" s="21" t="s">
        <v>37</v>
      </c>
      <c r="D181" s="21" t="s">
        <v>262</v>
      </c>
      <c r="E181" s="21" t="s">
        <v>263</v>
      </c>
      <c r="F181" s="21" t="s">
        <v>801</v>
      </c>
      <c r="G181" s="21" t="s">
        <v>34</v>
      </c>
      <c r="H181" s="23" t="s">
        <v>43</v>
      </c>
    </row>
    <row r="182" spans="1:8" x14ac:dyDescent="0.25">
      <c r="A182" s="20" t="s">
        <v>895</v>
      </c>
      <c r="B182" s="17" t="s">
        <v>264</v>
      </c>
      <c r="C182" s="21" t="s">
        <v>37</v>
      </c>
      <c r="D182" s="21" t="s">
        <v>262</v>
      </c>
      <c r="E182" s="21" t="s">
        <v>265</v>
      </c>
      <c r="F182" s="21" t="s">
        <v>801</v>
      </c>
      <c r="G182" s="21" t="s">
        <v>34</v>
      </c>
      <c r="H182" s="23" t="s">
        <v>32</v>
      </c>
    </row>
    <row r="183" spans="1:8" x14ac:dyDescent="0.25">
      <c r="A183" s="20" t="s">
        <v>266</v>
      </c>
      <c r="B183" s="17" t="s">
        <v>267</v>
      </c>
      <c r="C183" s="21" t="s">
        <v>1023</v>
      </c>
      <c r="D183" s="21" t="s">
        <v>262</v>
      </c>
      <c r="E183" s="21" t="s">
        <v>268</v>
      </c>
      <c r="F183" s="21" t="s">
        <v>801</v>
      </c>
      <c r="G183" s="21" t="s">
        <v>34</v>
      </c>
      <c r="H183" s="23" t="s">
        <v>43</v>
      </c>
    </row>
    <row r="184" spans="1:8" x14ac:dyDescent="0.25">
      <c r="A184" s="20" t="s">
        <v>896</v>
      </c>
      <c r="B184" s="17" t="s">
        <v>1048</v>
      </c>
      <c r="C184" s="21" t="s">
        <v>37</v>
      </c>
      <c r="D184" s="21" t="s">
        <v>262</v>
      </c>
      <c r="E184" s="21" t="s">
        <v>1020</v>
      </c>
      <c r="F184" s="21" t="s">
        <v>801</v>
      </c>
      <c r="G184" s="21" t="s">
        <v>34</v>
      </c>
      <c r="H184" s="23" t="s">
        <v>32</v>
      </c>
    </row>
    <row r="185" spans="1:8" x14ac:dyDescent="0.25">
      <c r="A185" s="20" t="s">
        <v>270</v>
      </c>
      <c r="B185" s="17" t="s">
        <v>271</v>
      </c>
      <c r="C185" s="21" t="s">
        <v>1023</v>
      </c>
      <c r="D185" s="21" t="s">
        <v>262</v>
      </c>
      <c r="E185" s="21" t="s">
        <v>269</v>
      </c>
      <c r="F185" s="21" t="s">
        <v>801</v>
      </c>
      <c r="G185" s="21" t="s">
        <v>34</v>
      </c>
      <c r="H185" s="23" t="s">
        <v>43</v>
      </c>
    </row>
    <row r="186" spans="1:8" x14ac:dyDescent="0.25">
      <c r="A186" s="20" t="s">
        <v>897</v>
      </c>
      <c r="B186" s="17" t="s">
        <v>273</v>
      </c>
      <c r="C186" s="21" t="s">
        <v>37</v>
      </c>
      <c r="D186" s="21" t="s">
        <v>262</v>
      </c>
      <c r="E186" s="21" t="s">
        <v>272</v>
      </c>
      <c r="F186" s="21" t="s">
        <v>801</v>
      </c>
      <c r="G186" s="21" t="s">
        <v>34</v>
      </c>
      <c r="H186" s="23" t="s">
        <v>43</v>
      </c>
    </row>
    <row r="187" spans="1:8" x14ac:dyDescent="0.25">
      <c r="A187" s="20" t="s">
        <v>898</v>
      </c>
      <c r="B187" s="17" t="s">
        <v>275</v>
      </c>
      <c r="C187" s="21" t="s">
        <v>37</v>
      </c>
      <c r="D187" s="21" t="s">
        <v>262</v>
      </c>
      <c r="E187" s="21" t="s">
        <v>274</v>
      </c>
      <c r="F187" s="21" t="s">
        <v>801</v>
      </c>
      <c r="G187" s="21" t="s">
        <v>34</v>
      </c>
      <c r="H187" s="23" t="s">
        <v>32</v>
      </c>
    </row>
    <row r="188" spans="1:8" x14ac:dyDescent="0.25">
      <c r="A188" s="20" t="s">
        <v>899</v>
      </c>
      <c r="B188" s="17" t="s">
        <v>283</v>
      </c>
      <c r="C188" s="21" t="s">
        <v>37</v>
      </c>
      <c r="D188" s="21" t="s">
        <v>262</v>
      </c>
      <c r="E188" s="21" t="s">
        <v>276</v>
      </c>
      <c r="F188" s="21" t="s">
        <v>801</v>
      </c>
      <c r="G188" s="21" t="s">
        <v>34</v>
      </c>
      <c r="H188" s="23" t="s">
        <v>43</v>
      </c>
    </row>
    <row r="189" spans="1:8" x14ac:dyDescent="0.25">
      <c r="A189" s="20" t="s">
        <v>722</v>
      </c>
      <c r="B189" s="17" t="s">
        <v>754</v>
      </c>
      <c r="D189" s="21" t="s">
        <v>262</v>
      </c>
      <c r="E189" s="21" t="s">
        <v>276</v>
      </c>
      <c r="F189" s="21" t="s">
        <v>1025</v>
      </c>
      <c r="G189" s="21" t="s">
        <v>1097</v>
      </c>
      <c r="H189" s="23" t="s">
        <v>32</v>
      </c>
    </row>
    <row r="190" spans="1:8" x14ac:dyDescent="0.25">
      <c r="A190" s="20" t="s">
        <v>671</v>
      </c>
      <c r="B190" s="17" t="s">
        <v>672</v>
      </c>
      <c r="D190" s="21" t="s">
        <v>262</v>
      </c>
      <c r="E190" s="21" t="s">
        <v>276</v>
      </c>
      <c r="F190" s="21" t="s">
        <v>1025</v>
      </c>
      <c r="G190" s="21" t="s">
        <v>1097</v>
      </c>
      <c r="H190" s="23" t="s">
        <v>32</v>
      </c>
    </row>
    <row r="191" spans="1:8" x14ac:dyDescent="0.25">
      <c r="A191" s="20" t="s">
        <v>549</v>
      </c>
      <c r="B191" s="17" t="s">
        <v>550</v>
      </c>
      <c r="D191" s="21" t="s">
        <v>262</v>
      </c>
      <c r="E191" s="21" t="s">
        <v>276</v>
      </c>
      <c r="F191" s="21" t="s">
        <v>1025</v>
      </c>
      <c r="G191" s="21" t="s">
        <v>1098</v>
      </c>
      <c r="H191" s="23" t="s">
        <v>32</v>
      </c>
    </row>
    <row r="192" spans="1:8" x14ac:dyDescent="0.25">
      <c r="A192" s="20" t="s">
        <v>614</v>
      </c>
      <c r="B192" s="17" t="s">
        <v>615</v>
      </c>
      <c r="D192" s="21" t="s">
        <v>262</v>
      </c>
      <c r="E192" s="21" t="s">
        <v>276</v>
      </c>
      <c r="F192" s="21" t="s">
        <v>1025</v>
      </c>
      <c r="G192" s="21" t="s">
        <v>1098</v>
      </c>
      <c r="H192" s="23" t="s">
        <v>32</v>
      </c>
    </row>
    <row r="193" spans="1:8" x14ac:dyDescent="0.25">
      <c r="A193" s="20" t="s">
        <v>281</v>
      </c>
      <c r="B193" s="17" t="s">
        <v>282</v>
      </c>
      <c r="C193" s="21" t="s">
        <v>1023</v>
      </c>
      <c r="D193" s="21" t="s">
        <v>262</v>
      </c>
      <c r="E193" s="21" t="s">
        <v>276</v>
      </c>
      <c r="F193" s="21" t="s">
        <v>801</v>
      </c>
      <c r="G193" s="21" t="s">
        <v>34</v>
      </c>
      <c r="H193" s="23" t="s">
        <v>43</v>
      </c>
    </row>
    <row r="194" spans="1:8" x14ac:dyDescent="0.25">
      <c r="A194" s="20" t="s">
        <v>554</v>
      </c>
      <c r="B194" s="17" t="s">
        <v>555</v>
      </c>
      <c r="D194" s="21" t="s">
        <v>262</v>
      </c>
      <c r="E194" s="21" t="s">
        <v>276</v>
      </c>
      <c r="F194" s="21" t="s">
        <v>1025</v>
      </c>
      <c r="G194" s="21" t="s">
        <v>548</v>
      </c>
      <c r="H194" s="23" t="s">
        <v>32</v>
      </c>
    </row>
    <row r="195" spans="1:8" x14ac:dyDescent="0.25">
      <c r="A195" s="20" t="s">
        <v>900</v>
      </c>
      <c r="B195" s="17" t="s">
        <v>1049</v>
      </c>
      <c r="C195" s="21" t="s">
        <v>37</v>
      </c>
      <c r="D195" s="21" t="s">
        <v>262</v>
      </c>
      <c r="E195" s="21" t="s">
        <v>276</v>
      </c>
      <c r="F195" s="21" t="s">
        <v>801</v>
      </c>
      <c r="G195" s="21" t="s">
        <v>34</v>
      </c>
      <c r="H195" s="23" t="s">
        <v>43</v>
      </c>
    </row>
    <row r="196" spans="1:8" x14ac:dyDescent="0.25">
      <c r="A196" s="20" t="s">
        <v>901</v>
      </c>
      <c r="B196" s="17" t="s">
        <v>1050</v>
      </c>
      <c r="C196" s="21" t="s">
        <v>37</v>
      </c>
      <c r="D196" s="21" t="s">
        <v>262</v>
      </c>
      <c r="E196" s="21" t="s">
        <v>276</v>
      </c>
      <c r="F196" s="21" t="s">
        <v>801</v>
      </c>
      <c r="G196" s="21" t="s">
        <v>34</v>
      </c>
      <c r="H196" s="23" t="s">
        <v>43</v>
      </c>
    </row>
    <row r="197" spans="1:8" x14ac:dyDescent="0.25">
      <c r="A197" s="20" t="s">
        <v>625</v>
      </c>
      <c r="B197" s="17" t="s">
        <v>626</v>
      </c>
      <c r="D197" s="21" t="s">
        <v>262</v>
      </c>
      <c r="E197" s="21" t="s">
        <v>276</v>
      </c>
      <c r="F197" s="21" t="s">
        <v>1025</v>
      </c>
      <c r="G197" s="21" t="s">
        <v>548</v>
      </c>
      <c r="H197" s="23" t="s">
        <v>32</v>
      </c>
    </row>
    <row r="198" spans="1:8" x14ac:dyDescent="0.25">
      <c r="A198" s="20" t="s">
        <v>279</v>
      </c>
      <c r="B198" s="17" t="s">
        <v>280</v>
      </c>
      <c r="C198" s="21" t="s">
        <v>1023</v>
      </c>
      <c r="D198" s="21" t="s">
        <v>262</v>
      </c>
      <c r="E198" s="21" t="s">
        <v>276</v>
      </c>
      <c r="F198" s="21" t="s">
        <v>801</v>
      </c>
      <c r="G198" s="21" t="s">
        <v>34</v>
      </c>
      <c r="H198" s="23" t="s">
        <v>43</v>
      </c>
    </row>
    <row r="199" spans="1:8" x14ac:dyDescent="0.25">
      <c r="A199" s="20" t="s">
        <v>902</v>
      </c>
      <c r="B199" s="17" t="s">
        <v>1051</v>
      </c>
      <c r="C199" s="21" t="s">
        <v>1023</v>
      </c>
      <c r="D199" s="21" t="s">
        <v>262</v>
      </c>
      <c r="E199" s="21" t="s">
        <v>276</v>
      </c>
      <c r="F199" s="21" t="s">
        <v>801</v>
      </c>
      <c r="G199" s="21" t="s">
        <v>1029</v>
      </c>
      <c r="H199" s="23" t="s">
        <v>35</v>
      </c>
    </row>
    <row r="200" spans="1:8" x14ac:dyDescent="0.25">
      <c r="A200" s="20" t="s">
        <v>903</v>
      </c>
      <c r="B200" s="17" t="s">
        <v>705</v>
      </c>
      <c r="D200" s="21" t="s">
        <v>262</v>
      </c>
      <c r="E200" s="21" t="s">
        <v>276</v>
      </c>
      <c r="F200" s="21" t="s">
        <v>1025</v>
      </c>
      <c r="G200" s="21" t="s">
        <v>548</v>
      </c>
      <c r="H200" s="23" t="s">
        <v>32</v>
      </c>
    </row>
    <row r="201" spans="1:8" x14ac:dyDescent="0.25">
      <c r="A201" s="20" t="s">
        <v>904</v>
      </c>
      <c r="B201" s="17" t="s">
        <v>1069</v>
      </c>
      <c r="D201" s="21" t="s">
        <v>262</v>
      </c>
      <c r="E201" s="21" t="s">
        <v>276</v>
      </c>
      <c r="F201" s="21" t="s">
        <v>1025</v>
      </c>
      <c r="G201" s="21" t="s">
        <v>548</v>
      </c>
      <c r="H201" s="23" t="s">
        <v>32</v>
      </c>
    </row>
    <row r="202" spans="1:8" x14ac:dyDescent="0.25">
      <c r="A202" s="20" t="s">
        <v>905</v>
      </c>
      <c r="B202" s="17" t="s">
        <v>1052</v>
      </c>
      <c r="C202" s="21" t="s">
        <v>37</v>
      </c>
      <c r="D202" s="21" t="s">
        <v>262</v>
      </c>
      <c r="E202" s="21" t="s">
        <v>276</v>
      </c>
      <c r="F202" s="21" t="s">
        <v>801</v>
      </c>
      <c r="G202" s="21" t="s">
        <v>34</v>
      </c>
      <c r="H202" s="23" t="s">
        <v>32</v>
      </c>
    </row>
    <row r="203" spans="1:8" x14ac:dyDescent="0.25">
      <c r="A203" s="20" t="s">
        <v>906</v>
      </c>
      <c r="B203" s="17" t="s">
        <v>753</v>
      </c>
      <c r="D203" s="21" t="s">
        <v>262</v>
      </c>
      <c r="E203" s="21" t="s">
        <v>276</v>
      </c>
      <c r="F203" s="21" t="s">
        <v>1025</v>
      </c>
      <c r="G203" s="21" t="s">
        <v>1097</v>
      </c>
      <c r="H203" s="23" t="s">
        <v>32</v>
      </c>
    </row>
    <row r="204" spans="1:8" x14ac:dyDescent="0.25">
      <c r="A204" s="20" t="s">
        <v>277</v>
      </c>
      <c r="B204" s="17" t="s">
        <v>278</v>
      </c>
      <c r="C204" s="21" t="s">
        <v>1023</v>
      </c>
      <c r="D204" s="21" t="s">
        <v>262</v>
      </c>
      <c r="E204" s="21" t="s">
        <v>276</v>
      </c>
      <c r="F204" s="21" t="s">
        <v>801</v>
      </c>
      <c r="G204" s="21" t="s">
        <v>34</v>
      </c>
      <c r="H204" s="23" t="s">
        <v>43</v>
      </c>
    </row>
    <row r="205" spans="1:8" x14ac:dyDescent="0.25">
      <c r="A205" s="20" t="s">
        <v>907</v>
      </c>
      <c r="B205" s="17" t="s">
        <v>284</v>
      </c>
      <c r="C205" s="21" t="s">
        <v>37</v>
      </c>
      <c r="D205" s="21" t="s">
        <v>262</v>
      </c>
      <c r="E205" s="21" t="s">
        <v>285</v>
      </c>
      <c r="F205" s="21" t="s">
        <v>801</v>
      </c>
      <c r="G205" s="21" t="s">
        <v>34</v>
      </c>
      <c r="H205" s="23" t="s">
        <v>32</v>
      </c>
    </row>
    <row r="206" spans="1:8" x14ac:dyDescent="0.25">
      <c r="A206" s="20" t="s">
        <v>908</v>
      </c>
      <c r="B206" s="17" t="s">
        <v>685</v>
      </c>
      <c r="D206" s="21" t="s">
        <v>262</v>
      </c>
      <c r="E206" s="21" t="s">
        <v>686</v>
      </c>
      <c r="F206" s="21" t="s">
        <v>1025</v>
      </c>
      <c r="G206" s="21" t="s">
        <v>1097</v>
      </c>
      <c r="H206" s="23" t="s">
        <v>32</v>
      </c>
    </row>
    <row r="207" spans="1:8" x14ac:dyDescent="0.25">
      <c r="A207" s="20" t="s">
        <v>288</v>
      </c>
      <c r="B207" s="17" t="s">
        <v>289</v>
      </c>
      <c r="C207" s="21" t="s">
        <v>1023</v>
      </c>
      <c r="D207" s="21" t="s">
        <v>286</v>
      </c>
      <c r="E207" s="21" t="s">
        <v>287</v>
      </c>
      <c r="F207" s="21" t="s">
        <v>1024</v>
      </c>
      <c r="G207" s="21" t="s">
        <v>34</v>
      </c>
      <c r="H207" s="23" t="s">
        <v>43</v>
      </c>
    </row>
    <row r="208" spans="1:8" x14ac:dyDescent="0.25">
      <c r="A208" s="20" t="s">
        <v>909</v>
      </c>
      <c r="B208" s="17" t="s">
        <v>1070</v>
      </c>
      <c r="D208" s="21" t="s">
        <v>286</v>
      </c>
      <c r="E208" s="21" t="s">
        <v>290</v>
      </c>
      <c r="F208" s="21" t="s">
        <v>1025</v>
      </c>
      <c r="G208" s="21" t="s">
        <v>1097</v>
      </c>
      <c r="H208" s="23" t="s">
        <v>32</v>
      </c>
    </row>
    <row r="209" spans="1:8" x14ac:dyDescent="0.25">
      <c r="A209" s="20" t="s">
        <v>293</v>
      </c>
      <c r="B209" s="17" t="s">
        <v>294</v>
      </c>
      <c r="C209" s="21" t="s">
        <v>1023</v>
      </c>
      <c r="D209" s="21" t="s">
        <v>286</v>
      </c>
      <c r="E209" s="21" t="s">
        <v>290</v>
      </c>
      <c r="F209" s="21" t="s">
        <v>1024</v>
      </c>
      <c r="G209" s="21" t="s">
        <v>34</v>
      </c>
      <c r="H209" s="23" t="s">
        <v>43</v>
      </c>
    </row>
    <row r="210" spans="1:8" x14ac:dyDescent="0.25">
      <c r="A210" s="20" t="s">
        <v>582</v>
      </c>
      <c r="B210" s="17" t="s">
        <v>583</v>
      </c>
      <c r="D210" s="21" t="s">
        <v>286</v>
      </c>
      <c r="E210" s="21" t="s">
        <v>290</v>
      </c>
      <c r="F210" s="21" t="s">
        <v>1025</v>
      </c>
      <c r="G210" s="21" t="s">
        <v>548</v>
      </c>
      <c r="H210" s="23" t="s">
        <v>32</v>
      </c>
    </row>
    <row r="211" spans="1:8" x14ac:dyDescent="0.25">
      <c r="A211" s="20" t="s">
        <v>291</v>
      </c>
      <c r="B211" s="17" t="s">
        <v>292</v>
      </c>
      <c r="C211" s="21" t="s">
        <v>1023</v>
      </c>
      <c r="D211" s="21" t="s">
        <v>286</v>
      </c>
      <c r="E211" s="21" t="s">
        <v>290</v>
      </c>
      <c r="F211" s="21" t="s">
        <v>1024</v>
      </c>
      <c r="G211" s="21" t="s">
        <v>34</v>
      </c>
      <c r="H211" s="23" t="s">
        <v>43</v>
      </c>
    </row>
    <row r="212" spans="1:8" x14ac:dyDescent="0.25">
      <c r="A212" s="20" t="s">
        <v>910</v>
      </c>
      <c r="B212" s="17" t="s">
        <v>712</v>
      </c>
      <c r="D212" s="21" t="s">
        <v>286</v>
      </c>
      <c r="E212" s="21" t="s">
        <v>290</v>
      </c>
      <c r="F212" s="21" t="s">
        <v>1025</v>
      </c>
      <c r="G212" s="21" t="s">
        <v>1098</v>
      </c>
      <c r="H212" s="23" t="s">
        <v>32</v>
      </c>
    </row>
    <row r="213" spans="1:8" x14ac:dyDescent="0.25">
      <c r="A213" s="20" t="s">
        <v>644</v>
      </c>
      <c r="B213" s="17" t="s">
        <v>645</v>
      </c>
      <c r="D213" s="21" t="s">
        <v>286</v>
      </c>
      <c r="E213" s="21" t="s">
        <v>290</v>
      </c>
      <c r="F213" s="21" t="s">
        <v>1025</v>
      </c>
      <c r="G213" s="21" t="s">
        <v>548</v>
      </c>
      <c r="H213" s="23" t="s">
        <v>32</v>
      </c>
    </row>
    <row r="214" spans="1:8" x14ac:dyDescent="0.25">
      <c r="A214" s="20" t="s">
        <v>911</v>
      </c>
      <c r="B214" s="17" t="s">
        <v>297</v>
      </c>
      <c r="C214" s="21" t="s">
        <v>37</v>
      </c>
      <c r="D214" s="21" t="s">
        <v>295</v>
      </c>
      <c r="E214" s="21" t="s">
        <v>296</v>
      </c>
      <c r="F214" s="21" t="s">
        <v>801</v>
      </c>
      <c r="G214" s="21" t="s">
        <v>34</v>
      </c>
      <c r="H214" s="23" t="s">
        <v>32</v>
      </c>
    </row>
    <row r="215" spans="1:8" x14ac:dyDescent="0.25">
      <c r="A215" s="20" t="s">
        <v>298</v>
      </c>
      <c r="B215" s="17" t="s">
        <v>299</v>
      </c>
      <c r="C215" s="21" t="s">
        <v>1023</v>
      </c>
      <c r="D215" s="21" t="s">
        <v>295</v>
      </c>
      <c r="E215" s="21" t="s">
        <v>300</v>
      </c>
      <c r="F215" s="21" t="s">
        <v>801</v>
      </c>
      <c r="G215" s="21" t="s">
        <v>34</v>
      </c>
      <c r="H215" s="23" t="s">
        <v>43</v>
      </c>
    </row>
    <row r="216" spans="1:8" x14ac:dyDescent="0.25">
      <c r="A216" s="20" t="s">
        <v>912</v>
      </c>
      <c r="B216" s="17" t="s">
        <v>301</v>
      </c>
      <c r="C216" s="21" t="s">
        <v>37</v>
      </c>
      <c r="D216" s="21" t="s">
        <v>295</v>
      </c>
      <c r="E216" s="21" t="s">
        <v>302</v>
      </c>
      <c r="F216" s="21" t="s">
        <v>801</v>
      </c>
      <c r="G216" s="21" t="s">
        <v>34</v>
      </c>
      <c r="H216" s="23" t="s">
        <v>43</v>
      </c>
    </row>
    <row r="217" spans="1:8" x14ac:dyDescent="0.25">
      <c r="A217" s="20" t="s">
        <v>913</v>
      </c>
      <c r="B217" s="17" t="s">
        <v>303</v>
      </c>
      <c r="C217" s="21" t="s">
        <v>37</v>
      </c>
      <c r="D217" s="21" t="s">
        <v>295</v>
      </c>
      <c r="E217" s="21" t="s">
        <v>304</v>
      </c>
      <c r="F217" s="21" t="s">
        <v>801</v>
      </c>
      <c r="G217" s="21" t="s">
        <v>34</v>
      </c>
      <c r="H217" s="23" t="s">
        <v>43</v>
      </c>
    </row>
    <row r="218" spans="1:8" x14ac:dyDescent="0.25">
      <c r="A218" s="20" t="s">
        <v>306</v>
      </c>
      <c r="B218" s="17" t="s">
        <v>307</v>
      </c>
      <c r="C218" s="21" t="s">
        <v>37</v>
      </c>
      <c r="D218" s="21" t="s">
        <v>295</v>
      </c>
      <c r="E218" s="21" t="s">
        <v>305</v>
      </c>
      <c r="F218" s="21" t="s">
        <v>801</v>
      </c>
      <c r="G218" s="21" t="s">
        <v>34</v>
      </c>
      <c r="H218" s="23" t="s">
        <v>43</v>
      </c>
    </row>
    <row r="219" spans="1:8" x14ac:dyDescent="0.25">
      <c r="A219" s="20" t="s">
        <v>914</v>
      </c>
      <c r="B219" s="17" t="s">
        <v>1053</v>
      </c>
      <c r="C219" s="21" t="s">
        <v>37</v>
      </c>
      <c r="D219" s="21" t="s">
        <v>295</v>
      </c>
      <c r="E219" s="21" t="s">
        <v>308</v>
      </c>
      <c r="F219" s="21" t="s">
        <v>801</v>
      </c>
      <c r="G219" s="21" t="s">
        <v>34</v>
      </c>
      <c r="H219" s="23" t="s">
        <v>43</v>
      </c>
    </row>
    <row r="220" spans="1:8" x14ac:dyDescent="0.25">
      <c r="A220" s="20" t="s">
        <v>915</v>
      </c>
      <c r="B220" s="17" t="s">
        <v>683</v>
      </c>
      <c r="D220" s="21" t="s">
        <v>295</v>
      </c>
      <c r="E220" s="21" t="s">
        <v>308</v>
      </c>
      <c r="F220" s="21" t="s">
        <v>1025</v>
      </c>
      <c r="G220" s="21" t="s">
        <v>1097</v>
      </c>
      <c r="H220" s="23" t="s">
        <v>32</v>
      </c>
    </row>
    <row r="221" spans="1:8" x14ac:dyDescent="0.25">
      <c r="A221" s="20" t="s">
        <v>916</v>
      </c>
      <c r="B221" s="17" t="s">
        <v>310</v>
      </c>
      <c r="C221" s="21" t="s">
        <v>37</v>
      </c>
      <c r="D221" s="21" t="s">
        <v>295</v>
      </c>
      <c r="E221" s="21" t="s">
        <v>308</v>
      </c>
      <c r="F221" s="21" t="s">
        <v>801</v>
      </c>
      <c r="G221" s="21" t="s">
        <v>34</v>
      </c>
      <c r="H221" s="23" t="s">
        <v>43</v>
      </c>
    </row>
    <row r="222" spans="1:8" x14ac:dyDescent="0.25">
      <c r="A222" s="20" t="s">
        <v>917</v>
      </c>
      <c r="B222" s="17" t="s">
        <v>309</v>
      </c>
      <c r="C222" s="21" t="s">
        <v>37</v>
      </c>
      <c r="D222" s="21" t="s">
        <v>295</v>
      </c>
      <c r="E222" s="21" t="s">
        <v>308</v>
      </c>
      <c r="F222" s="21" t="s">
        <v>801</v>
      </c>
      <c r="G222" s="21" t="s">
        <v>34</v>
      </c>
      <c r="H222" s="23" t="s">
        <v>32</v>
      </c>
    </row>
    <row r="223" spans="1:8" x14ac:dyDescent="0.25">
      <c r="A223" s="20" t="s">
        <v>918</v>
      </c>
      <c r="B223" s="17" t="s">
        <v>677</v>
      </c>
      <c r="D223" s="21" t="s">
        <v>311</v>
      </c>
      <c r="E223" s="21" t="s">
        <v>678</v>
      </c>
      <c r="F223" s="21" t="s">
        <v>1025</v>
      </c>
      <c r="G223" s="21" t="s">
        <v>1097</v>
      </c>
      <c r="H223" s="23" t="s">
        <v>32</v>
      </c>
    </row>
    <row r="224" spans="1:8" x14ac:dyDescent="0.25">
      <c r="A224" s="20" t="s">
        <v>919</v>
      </c>
      <c r="B224" s="17" t="s">
        <v>755</v>
      </c>
      <c r="C224" s="21" t="s">
        <v>37</v>
      </c>
      <c r="D224" s="21" t="s">
        <v>311</v>
      </c>
      <c r="E224" s="21" t="s">
        <v>791</v>
      </c>
      <c r="F224" s="21" t="s">
        <v>1024</v>
      </c>
      <c r="G224" s="21" t="s">
        <v>34</v>
      </c>
      <c r="H224" s="23" t="s">
        <v>32</v>
      </c>
    </row>
    <row r="225" spans="1:8" x14ac:dyDescent="0.25">
      <c r="A225" s="20" t="s">
        <v>920</v>
      </c>
      <c r="B225" s="17" t="s">
        <v>756</v>
      </c>
      <c r="D225" s="21" t="s">
        <v>311</v>
      </c>
      <c r="E225" s="21" t="s">
        <v>792</v>
      </c>
      <c r="F225" s="21" t="s">
        <v>1025</v>
      </c>
      <c r="G225" s="21" t="s">
        <v>1097</v>
      </c>
      <c r="H225" s="23" t="s">
        <v>32</v>
      </c>
    </row>
    <row r="226" spans="1:8" x14ac:dyDescent="0.25">
      <c r="A226" s="20" t="s">
        <v>921</v>
      </c>
      <c r="B226" s="17" t="s">
        <v>757</v>
      </c>
      <c r="C226" s="21" t="s">
        <v>37</v>
      </c>
      <c r="D226" s="21" t="s">
        <v>311</v>
      </c>
      <c r="E226" s="21" t="s">
        <v>793</v>
      </c>
      <c r="F226" s="21" t="s">
        <v>1024</v>
      </c>
      <c r="G226" s="21" t="s">
        <v>34</v>
      </c>
      <c r="H226" s="23" t="s">
        <v>43</v>
      </c>
    </row>
    <row r="227" spans="1:8" x14ac:dyDescent="0.25">
      <c r="A227" s="20" t="s">
        <v>604</v>
      </c>
      <c r="B227" s="17" t="s">
        <v>605</v>
      </c>
      <c r="D227" s="21" t="s">
        <v>311</v>
      </c>
      <c r="E227" s="21" t="s">
        <v>606</v>
      </c>
      <c r="F227" s="21" t="s">
        <v>1025</v>
      </c>
      <c r="G227" s="21" t="s">
        <v>548</v>
      </c>
      <c r="H227" s="23" t="s">
        <v>32</v>
      </c>
    </row>
    <row r="228" spans="1:8" x14ac:dyDescent="0.25">
      <c r="A228" s="20" t="s">
        <v>922</v>
      </c>
      <c r="B228" s="17" t="s">
        <v>312</v>
      </c>
      <c r="C228" s="21" t="s">
        <v>37</v>
      </c>
      <c r="D228" s="21" t="s">
        <v>311</v>
      </c>
      <c r="E228" s="21" t="s">
        <v>313</v>
      </c>
      <c r="F228" s="21" t="s">
        <v>1024</v>
      </c>
      <c r="G228" s="21" t="s">
        <v>34</v>
      </c>
      <c r="H228" s="23" t="s">
        <v>32</v>
      </c>
    </row>
    <row r="229" spans="1:8" x14ac:dyDescent="0.25">
      <c r="A229" s="20" t="s">
        <v>923</v>
      </c>
      <c r="B229" s="17" t="s">
        <v>315</v>
      </c>
      <c r="C229" s="21" t="s">
        <v>37</v>
      </c>
      <c r="D229" s="21" t="s">
        <v>311</v>
      </c>
      <c r="E229" s="21" t="s">
        <v>314</v>
      </c>
      <c r="F229" s="21" t="s">
        <v>1024</v>
      </c>
      <c r="G229" s="21" t="s">
        <v>34</v>
      </c>
      <c r="H229" s="23" t="s">
        <v>43</v>
      </c>
    </row>
    <row r="230" spans="1:8" x14ac:dyDescent="0.25">
      <c r="A230" s="20" t="s">
        <v>317</v>
      </c>
      <c r="B230" s="17" t="s">
        <v>318</v>
      </c>
      <c r="C230" s="21" t="s">
        <v>37</v>
      </c>
      <c r="D230" s="21" t="s">
        <v>311</v>
      </c>
      <c r="E230" s="21" t="s">
        <v>316</v>
      </c>
      <c r="F230" s="21" t="s">
        <v>1024</v>
      </c>
      <c r="G230" s="21" t="s">
        <v>1030</v>
      </c>
      <c r="H230" s="23" t="s">
        <v>43</v>
      </c>
    </row>
    <row r="231" spans="1:8" x14ac:dyDescent="0.25">
      <c r="A231" s="20" t="s">
        <v>600</v>
      </c>
      <c r="B231" s="17" t="s">
        <v>601</v>
      </c>
      <c r="D231" s="21" t="s">
        <v>311</v>
      </c>
      <c r="E231" s="21" t="s">
        <v>319</v>
      </c>
      <c r="F231" s="21" t="s">
        <v>1025</v>
      </c>
      <c r="G231" s="21" t="s">
        <v>548</v>
      </c>
      <c r="H231" s="23" t="s">
        <v>32</v>
      </c>
    </row>
    <row r="232" spans="1:8" x14ac:dyDescent="0.25">
      <c r="A232" s="20" t="s">
        <v>924</v>
      </c>
      <c r="B232" s="17" t="s">
        <v>1054</v>
      </c>
      <c r="C232" s="21" t="s">
        <v>37</v>
      </c>
      <c r="D232" s="21" t="s">
        <v>311</v>
      </c>
      <c r="E232" s="21" t="s">
        <v>319</v>
      </c>
      <c r="F232" s="21" t="s">
        <v>1024</v>
      </c>
      <c r="G232" s="21" t="s">
        <v>34</v>
      </c>
      <c r="H232" s="23" t="s">
        <v>43</v>
      </c>
    </row>
    <row r="233" spans="1:8" x14ac:dyDescent="0.25">
      <c r="A233" s="20" t="s">
        <v>320</v>
      </c>
      <c r="B233" s="17" t="s">
        <v>321</v>
      </c>
      <c r="C233" s="21" t="s">
        <v>37</v>
      </c>
      <c r="D233" s="21" t="s">
        <v>311</v>
      </c>
      <c r="E233" s="21" t="s">
        <v>322</v>
      </c>
      <c r="F233" s="21" t="s">
        <v>1024</v>
      </c>
      <c r="G233" s="21" t="s">
        <v>34</v>
      </c>
      <c r="H233" s="23" t="s">
        <v>43</v>
      </c>
    </row>
    <row r="234" spans="1:8" x14ac:dyDescent="0.25">
      <c r="A234" s="20" t="s">
        <v>925</v>
      </c>
      <c r="B234" s="17" t="s">
        <v>324</v>
      </c>
      <c r="C234" s="21" t="s">
        <v>37</v>
      </c>
      <c r="D234" s="21" t="s">
        <v>311</v>
      </c>
      <c r="E234" s="21" t="s">
        <v>323</v>
      </c>
      <c r="F234" s="21" t="s">
        <v>1024</v>
      </c>
      <c r="G234" s="21" t="s">
        <v>34</v>
      </c>
      <c r="H234" s="23" t="s">
        <v>32</v>
      </c>
    </row>
    <row r="235" spans="1:8" x14ac:dyDescent="0.25">
      <c r="A235" s="20" t="s">
        <v>926</v>
      </c>
      <c r="B235" s="17" t="s">
        <v>328</v>
      </c>
      <c r="C235" s="21" t="s">
        <v>37</v>
      </c>
      <c r="D235" s="21" t="s">
        <v>311</v>
      </c>
      <c r="E235" s="21" t="s">
        <v>327</v>
      </c>
      <c r="F235" s="21" t="s">
        <v>1024</v>
      </c>
      <c r="G235" s="21" t="s">
        <v>34</v>
      </c>
      <c r="H235" s="23" t="s">
        <v>43</v>
      </c>
    </row>
    <row r="236" spans="1:8" x14ac:dyDescent="0.25">
      <c r="A236" s="20" t="s">
        <v>325</v>
      </c>
      <c r="B236" s="17" t="s">
        <v>326</v>
      </c>
      <c r="C236" s="21" t="s">
        <v>37</v>
      </c>
      <c r="D236" s="21" t="s">
        <v>311</v>
      </c>
      <c r="E236" s="21" t="s">
        <v>327</v>
      </c>
      <c r="F236" s="21" t="s">
        <v>1024</v>
      </c>
      <c r="G236" s="21" t="s">
        <v>34</v>
      </c>
      <c r="H236" s="23" t="s">
        <v>32</v>
      </c>
    </row>
    <row r="237" spans="1:8" x14ac:dyDescent="0.25">
      <c r="A237" s="20" t="s">
        <v>330</v>
      </c>
      <c r="B237" s="17" t="s">
        <v>331</v>
      </c>
      <c r="C237" s="21" t="s">
        <v>37</v>
      </c>
      <c r="D237" s="21" t="s">
        <v>311</v>
      </c>
      <c r="E237" s="21" t="s">
        <v>329</v>
      </c>
      <c r="F237" s="21" t="s">
        <v>1024</v>
      </c>
      <c r="G237" s="21" t="s">
        <v>34</v>
      </c>
      <c r="H237" s="23" t="s">
        <v>43</v>
      </c>
    </row>
    <row r="238" spans="1:8" x14ac:dyDescent="0.25">
      <c r="A238" s="20" t="s">
        <v>927</v>
      </c>
      <c r="B238" s="17" t="s">
        <v>335</v>
      </c>
      <c r="C238" s="21" t="s">
        <v>37</v>
      </c>
      <c r="D238" s="21" t="s">
        <v>311</v>
      </c>
      <c r="E238" s="21" t="s">
        <v>332</v>
      </c>
      <c r="F238" s="21" t="s">
        <v>1024</v>
      </c>
      <c r="G238" s="21" t="s">
        <v>34</v>
      </c>
      <c r="H238" s="23" t="s">
        <v>32</v>
      </c>
    </row>
    <row r="239" spans="1:8" x14ac:dyDescent="0.25">
      <c r="A239" s="20" t="s">
        <v>333</v>
      </c>
      <c r="B239" s="17" t="s">
        <v>334</v>
      </c>
      <c r="C239" s="21" t="s">
        <v>37</v>
      </c>
      <c r="D239" s="21" t="s">
        <v>311</v>
      </c>
      <c r="E239" s="21" t="s">
        <v>332</v>
      </c>
      <c r="F239" s="21" t="s">
        <v>1024</v>
      </c>
      <c r="G239" s="21" t="s">
        <v>34</v>
      </c>
      <c r="H239" s="23" t="s">
        <v>43</v>
      </c>
    </row>
    <row r="240" spans="1:8" x14ac:dyDescent="0.25">
      <c r="A240" s="20" t="s">
        <v>928</v>
      </c>
      <c r="B240" s="17" t="s">
        <v>1071</v>
      </c>
      <c r="D240" s="21" t="s">
        <v>311</v>
      </c>
      <c r="E240" s="21" t="s">
        <v>336</v>
      </c>
      <c r="F240" s="21" t="s">
        <v>1025</v>
      </c>
      <c r="G240" s="21" t="s">
        <v>548</v>
      </c>
      <c r="H240" s="23" t="s">
        <v>32</v>
      </c>
    </row>
    <row r="241" spans="1:8" x14ac:dyDescent="0.25">
      <c r="A241" s="20" t="s">
        <v>337</v>
      </c>
      <c r="B241" s="17" t="s">
        <v>338</v>
      </c>
      <c r="C241" s="21" t="s">
        <v>1023</v>
      </c>
      <c r="D241" s="21" t="s">
        <v>311</v>
      </c>
      <c r="E241" s="21" t="s">
        <v>336</v>
      </c>
      <c r="F241" s="21" t="s">
        <v>1024</v>
      </c>
      <c r="G241" s="21" t="s">
        <v>34</v>
      </c>
      <c r="H241" s="23" t="s">
        <v>43</v>
      </c>
    </row>
    <row r="242" spans="1:8" x14ac:dyDescent="0.25">
      <c r="A242" s="20" t="s">
        <v>929</v>
      </c>
      <c r="B242" s="17" t="s">
        <v>679</v>
      </c>
      <c r="D242" s="21" t="s">
        <v>311</v>
      </c>
      <c r="E242" s="21" t="s">
        <v>336</v>
      </c>
      <c r="F242" s="21" t="s">
        <v>1025</v>
      </c>
      <c r="G242" s="21" t="s">
        <v>548</v>
      </c>
      <c r="H242" s="23" t="s">
        <v>32</v>
      </c>
    </row>
    <row r="243" spans="1:8" x14ac:dyDescent="0.25">
      <c r="A243" s="20" t="s">
        <v>339</v>
      </c>
      <c r="B243" s="17" t="s">
        <v>340</v>
      </c>
      <c r="C243" s="21" t="s">
        <v>1023</v>
      </c>
      <c r="D243" s="21" t="s">
        <v>311</v>
      </c>
      <c r="E243" s="21" t="s">
        <v>336</v>
      </c>
      <c r="F243" s="21" t="s">
        <v>1024</v>
      </c>
      <c r="G243" s="21" t="s">
        <v>34</v>
      </c>
      <c r="H243" s="23" t="s">
        <v>43</v>
      </c>
    </row>
    <row r="244" spans="1:8" x14ac:dyDescent="0.25">
      <c r="A244" s="20" t="s">
        <v>633</v>
      </c>
      <c r="B244" s="17" t="s">
        <v>634</v>
      </c>
      <c r="D244" s="21" t="s">
        <v>311</v>
      </c>
      <c r="E244" s="21" t="s">
        <v>336</v>
      </c>
      <c r="F244" s="21" t="s">
        <v>1025</v>
      </c>
      <c r="G244" s="21" t="s">
        <v>548</v>
      </c>
      <c r="H244" s="23" t="s">
        <v>32</v>
      </c>
    </row>
    <row r="245" spans="1:8" x14ac:dyDescent="0.25">
      <c r="A245" s="20" t="s">
        <v>930</v>
      </c>
      <c r="B245" s="17" t="s">
        <v>760</v>
      </c>
      <c r="C245" s="21" t="s">
        <v>37</v>
      </c>
      <c r="D245" s="21" t="s">
        <v>311</v>
      </c>
      <c r="E245" s="21" t="s">
        <v>336</v>
      </c>
      <c r="F245" s="21" t="s">
        <v>1024</v>
      </c>
      <c r="G245" s="21" t="s">
        <v>34</v>
      </c>
      <c r="H245" s="23" t="s">
        <v>32</v>
      </c>
    </row>
    <row r="246" spans="1:8" x14ac:dyDescent="0.25">
      <c r="A246" s="20" t="s">
        <v>658</v>
      </c>
      <c r="B246" s="17" t="s">
        <v>758</v>
      </c>
      <c r="D246" s="21" t="s">
        <v>311</v>
      </c>
      <c r="E246" s="21" t="s">
        <v>336</v>
      </c>
      <c r="F246" s="21" t="s">
        <v>1025</v>
      </c>
      <c r="G246" s="21" t="s">
        <v>1097</v>
      </c>
      <c r="H246" s="23" t="s">
        <v>32</v>
      </c>
    </row>
    <row r="247" spans="1:8" x14ac:dyDescent="0.25">
      <c r="A247" s="20" t="s">
        <v>931</v>
      </c>
      <c r="B247" s="17" t="s">
        <v>759</v>
      </c>
      <c r="D247" s="21" t="s">
        <v>311</v>
      </c>
      <c r="E247" s="21" t="s">
        <v>336</v>
      </c>
      <c r="F247" s="21" t="s">
        <v>1025</v>
      </c>
      <c r="G247" s="21" t="s">
        <v>1097</v>
      </c>
      <c r="H247" s="23" t="s">
        <v>32</v>
      </c>
    </row>
    <row r="248" spans="1:8" x14ac:dyDescent="0.25">
      <c r="A248" s="20" t="s">
        <v>566</v>
      </c>
      <c r="B248" s="17" t="s">
        <v>567</v>
      </c>
      <c r="D248" s="21" t="s">
        <v>311</v>
      </c>
      <c r="E248" s="21" t="s">
        <v>336</v>
      </c>
      <c r="F248" s="21" t="s">
        <v>1025</v>
      </c>
      <c r="G248" s="21" t="s">
        <v>1098</v>
      </c>
      <c r="H248" s="23" t="s">
        <v>32</v>
      </c>
    </row>
    <row r="249" spans="1:8" x14ac:dyDescent="0.25">
      <c r="A249" s="20" t="s">
        <v>932</v>
      </c>
      <c r="B249" s="17" t="s">
        <v>708</v>
      </c>
      <c r="D249" s="21" t="s">
        <v>311</v>
      </c>
      <c r="E249" s="21" t="s">
        <v>336</v>
      </c>
      <c r="F249" s="21" t="s">
        <v>1025</v>
      </c>
      <c r="G249" s="21" t="s">
        <v>1098</v>
      </c>
      <c r="H249" s="23" t="s">
        <v>32</v>
      </c>
    </row>
    <row r="250" spans="1:8" x14ac:dyDescent="0.25">
      <c r="A250" s="20" t="s">
        <v>1090</v>
      </c>
      <c r="B250" s="17" t="s">
        <v>1072</v>
      </c>
      <c r="D250" s="21" t="s">
        <v>311</v>
      </c>
      <c r="E250" s="21" t="s">
        <v>1095</v>
      </c>
      <c r="F250" s="21" t="s">
        <v>1025</v>
      </c>
      <c r="G250" s="21" t="s">
        <v>1097</v>
      </c>
      <c r="H250" s="23" t="s">
        <v>32</v>
      </c>
    </row>
    <row r="251" spans="1:8" x14ac:dyDescent="0.25">
      <c r="A251" s="20" t="s">
        <v>341</v>
      </c>
      <c r="B251" s="17" t="s">
        <v>342</v>
      </c>
      <c r="C251" s="21" t="s">
        <v>1023</v>
      </c>
      <c r="D251" s="21" t="s">
        <v>311</v>
      </c>
      <c r="E251" s="21" t="s">
        <v>343</v>
      </c>
      <c r="F251" s="21" t="s">
        <v>1024</v>
      </c>
      <c r="G251" s="21" t="s">
        <v>34</v>
      </c>
      <c r="H251" s="23" t="s">
        <v>35</v>
      </c>
    </row>
    <row r="252" spans="1:8" x14ac:dyDescent="0.25">
      <c r="A252" s="20" t="s">
        <v>933</v>
      </c>
      <c r="B252" s="17" t="s">
        <v>344</v>
      </c>
      <c r="C252" s="21" t="s">
        <v>37</v>
      </c>
      <c r="D252" s="21" t="s">
        <v>311</v>
      </c>
      <c r="E252" s="21" t="s">
        <v>343</v>
      </c>
      <c r="F252" s="21" t="s">
        <v>1024</v>
      </c>
      <c r="G252" s="21" t="s">
        <v>34</v>
      </c>
      <c r="H252" s="23" t="s">
        <v>32</v>
      </c>
    </row>
    <row r="253" spans="1:8" x14ac:dyDescent="0.25">
      <c r="A253" s="20" t="s">
        <v>345</v>
      </c>
      <c r="B253" s="17" t="s">
        <v>346</v>
      </c>
      <c r="C253" s="21" t="s">
        <v>37</v>
      </c>
      <c r="D253" s="21" t="s">
        <v>311</v>
      </c>
      <c r="E253" s="21" t="s">
        <v>347</v>
      </c>
      <c r="F253" s="21" t="s">
        <v>1024</v>
      </c>
      <c r="G253" s="21" t="s">
        <v>34</v>
      </c>
      <c r="H253" s="23" t="s">
        <v>43</v>
      </c>
    </row>
    <row r="254" spans="1:8" x14ac:dyDescent="0.25">
      <c r="A254" s="20" t="s">
        <v>934</v>
      </c>
      <c r="B254" s="17" t="s">
        <v>761</v>
      </c>
      <c r="C254" s="21" t="s">
        <v>37</v>
      </c>
      <c r="D254" s="21" t="s">
        <v>311</v>
      </c>
      <c r="E254" s="21" t="s">
        <v>794</v>
      </c>
      <c r="F254" s="21" t="s">
        <v>1024</v>
      </c>
      <c r="G254" s="21" t="s">
        <v>34</v>
      </c>
      <c r="H254" s="23" t="s">
        <v>43</v>
      </c>
    </row>
    <row r="255" spans="1:8" x14ac:dyDescent="0.25">
      <c r="A255" s="20" t="s">
        <v>348</v>
      </c>
      <c r="B255" s="17" t="s">
        <v>349</v>
      </c>
      <c r="C255" s="21" t="s">
        <v>37</v>
      </c>
      <c r="D255" s="21" t="s">
        <v>311</v>
      </c>
      <c r="E255" s="21" t="s">
        <v>350</v>
      </c>
      <c r="F255" s="21" t="s">
        <v>1024</v>
      </c>
      <c r="G255" s="21" t="s">
        <v>34</v>
      </c>
      <c r="H255" s="23" t="s">
        <v>43</v>
      </c>
    </row>
    <row r="256" spans="1:8" x14ac:dyDescent="0.25">
      <c r="A256" s="20" t="s">
        <v>935</v>
      </c>
      <c r="B256" s="17" t="s">
        <v>351</v>
      </c>
      <c r="C256" s="21" t="s">
        <v>37</v>
      </c>
      <c r="D256" s="21" t="s">
        <v>311</v>
      </c>
      <c r="E256" s="21" t="s">
        <v>352</v>
      </c>
      <c r="F256" s="21" t="s">
        <v>1024</v>
      </c>
      <c r="G256" s="21" t="s">
        <v>34</v>
      </c>
      <c r="H256" s="23" t="s">
        <v>43</v>
      </c>
    </row>
    <row r="257" spans="1:8" x14ac:dyDescent="0.25">
      <c r="A257" s="20" t="s">
        <v>936</v>
      </c>
      <c r="B257" s="17" t="s">
        <v>353</v>
      </c>
      <c r="C257" s="21" t="s">
        <v>37</v>
      </c>
      <c r="D257" s="21" t="s">
        <v>311</v>
      </c>
      <c r="E257" s="21" t="s">
        <v>354</v>
      </c>
      <c r="F257" s="21" t="s">
        <v>1024</v>
      </c>
      <c r="G257" s="21" t="s">
        <v>34</v>
      </c>
      <c r="H257" s="23" t="s">
        <v>32</v>
      </c>
    </row>
    <row r="258" spans="1:8" x14ac:dyDescent="0.25">
      <c r="A258" s="20" t="s">
        <v>937</v>
      </c>
      <c r="B258" s="17" t="s">
        <v>355</v>
      </c>
      <c r="C258" s="21" t="s">
        <v>37</v>
      </c>
      <c r="D258" s="21" t="s">
        <v>311</v>
      </c>
      <c r="E258" s="21" t="s">
        <v>356</v>
      </c>
      <c r="F258" s="21" t="s">
        <v>1024</v>
      </c>
      <c r="G258" s="21" t="s">
        <v>34</v>
      </c>
      <c r="H258" s="23" t="s">
        <v>32</v>
      </c>
    </row>
    <row r="259" spans="1:8" x14ac:dyDescent="0.25">
      <c r="A259" s="20" t="s">
        <v>938</v>
      </c>
      <c r="B259" s="17" t="s">
        <v>357</v>
      </c>
      <c r="C259" s="21" t="s">
        <v>37</v>
      </c>
      <c r="D259" s="21" t="s">
        <v>311</v>
      </c>
      <c r="E259" s="21" t="s">
        <v>358</v>
      </c>
      <c r="F259" s="21" t="s">
        <v>1024</v>
      </c>
      <c r="G259" s="21" t="s">
        <v>34</v>
      </c>
      <c r="H259" s="23" t="s">
        <v>43</v>
      </c>
    </row>
    <row r="260" spans="1:8" x14ac:dyDescent="0.25">
      <c r="A260" s="20" t="s">
        <v>359</v>
      </c>
      <c r="B260" s="17" t="s">
        <v>360</v>
      </c>
      <c r="C260" s="21" t="s">
        <v>37</v>
      </c>
      <c r="D260" s="21" t="s">
        <v>311</v>
      </c>
      <c r="E260" s="21" t="s">
        <v>361</v>
      </c>
      <c r="F260" s="21" t="s">
        <v>1024</v>
      </c>
      <c r="G260" s="21" t="s">
        <v>34</v>
      </c>
      <c r="H260" s="23" t="s">
        <v>43</v>
      </c>
    </row>
    <row r="261" spans="1:8" x14ac:dyDescent="0.25">
      <c r="A261" s="20" t="s">
        <v>363</v>
      </c>
      <c r="B261" s="17" t="s">
        <v>364</v>
      </c>
      <c r="C261" s="21" t="s">
        <v>37</v>
      </c>
      <c r="D261" s="21" t="s">
        <v>311</v>
      </c>
      <c r="E261" s="21" t="s">
        <v>362</v>
      </c>
      <c r="F261" s="21" t="s">
        <v>1024</v>
      </c>
      <c r="G261" s="21" t="s">
        <v>34</v>
      </c>
      <c r="H261" s="23" t="s">
        <v>43</v>
      </c>
    </row>
    <row r="262" spans="1:8" x14ac:dyDescent="0.25">
      <c r="A262" s="20" t="s">
        <v>939</v>
      </c>
      <c r="B262" s="17" t="s">
        <v>367</v>
      </c>
      <c r="C262" s="21" t="s">
        <v>37</v>
      </c>
      <c r="D262" s="21" t="s">
        <v>365</v>
      </c>
      <c r="E262" s="21" t="s">
        <v>366</v>
      </c>
      <c r="F262" s="21" t="s">
        <v>801</v>
      </c>
      <c r="G262" s="21" t="s">
        <v>34</v>
      </c>
      <c r="H262" s="23" t="s">
        <v>43</v>
      </c>
    </row>
    <row r="263" spans="1:8" x14ac:dyDescent="0.25">
      <c r="A263" s="20" t="s">
        <v>546</v>
      </c>
      <c r="B263" s="17" t="s">
        <v>547</v>
      </c>
      <c r="D263" s="21" t="s">
        <v>365</v>
      </c>
      <c r="E263" s="21" t="s">
        <v>370</v>
      </c>
      <c r="F263" s="21" t="s">
        <v>1025</v>
      </c>
      <c r="G263" s="21" t="s">
        <v>548</v>
      </c>
      <c r="H263" s="23" t="s">
        <v>32</v>
      </c>
    </row>
    <row r="264" spans="1:8" x14ac:dyDescent="0.25">
      <c r="A264" s="20" t="s">
        <v>368</v>
      </c>
      <c r="B264" s="17" t="s">
        <v>369</v>
      </c>
      <c r="C264" s="21" t="s">
        <v>1023</v>
      </c>
      <c r="D264" s="21" t="s">
        <v>365</v>
      </c>
      <c r="E264" s="21" t="s">
        <v>370</v>
      </c>
      <c r="F264" s="21" t="s">
        <v>801</v>
      </c>
      <c r="G264" s="21" t="s">
        <v>34</v>
      </c>
      <c r="H264" s="23" t="s">
        <v>43</v>
      </c>
    </row>
    <row r="265" spans="1:8" x14ac:dyDescent="0.25">
      <c r="A265" s="20" t="s">
        <v>940</v>
      </c>
      <c r="B265" s="17" t="s">
        <v>372</v>
      </c>
      <c r="C265" s="21" t="s">
        <v>37</v>
      </c>
      <c r="D265" s="21" t="s">
        <v>365</v>
      </c>
      <c r="E265" s="21" t="s">
        <v>371</v>
      </c>
      <c r="F265" s="21" t="s">
        <v>801</v>
      </c>
      <c r="G265" s="21" t="s">
        <v>34</v>
      </c>
      <c r="H265" s="23" t="s">
        <v>43</v>
      </c>
    </row>
    <row r="266" spans="1:8" x14ac:dyDescent="0.25">
      <c r="A266" s="20" t="s">
        <v>941</v>
      </c>
      <c r="B266" s="17" t="s">
        <v>374</v>
      </c>
      <c r="C266" s="21" t="s">
        <v>37</v>
      </c>
      <c r="D266" s="21" t="s">
        <v>365</v>
      </c>
      <c r="E266" s="21" t="s">
        <v>373</v>
      </c>
      <c r="F266" s="21" t="s">
        <v>801</v>
      </c>
      <c r="G266" s="21" t="s">
        <v>34</v>
      </c>
      <c r="H266" s="23" t="s">
        <v>32</v>
      </c>
    </row>
    <row r="267" spans="1:8" x14ac:dyDescent="0.25">
      <c r="A267" s="20" t="s">
        <v>942</v>
      </c>
      <c r="B267" s="17" t="s">
        <v>691</v>
      </c>
      <c r="C267" s="21" t="s">
        <v>37</v>
      </c>
      <c r="D267" s="21" t="s">
        <v>365</v>
      </c>
      <c r="E267" s="21" t="s">
        <v>375</v>
      </c>
      <c r="F267" s="21" t="s">
        <v>801</v>
      </c>
      <c r="G267" s="21" t="s">
        <v>34</v>
      </c>
      <c r="H267" s="23" t="s">
        <v>43</v>
      </c>
    </row>
    <row r="268" spans="1:8" x14ac:dyDescent="0.25">
      <c r="A268" s="20" t="s">
        <v>377</v>
      </c>
      <c r="B268" s="17" t="s">
        <v>378</v>
      </c>
      <c r="C268" s="21" t="s">
        <v>37</v>
      </c>
      <c r="D268" s="21" t="s">
        <v>365</v>
      </c>
      <c r="E268" s="21" t="s">
        <v>376</v>
      </c>
      <c r="F268" s="21" t="s">
        <v>801</v>
      </c>
      <c r="G268" s="21" t="s">
        <v>34</v>
      </c>
      <c r="H268" s="23" t="s">
        <v>43</v>
      </c>
    </row>
    <row r="269" spans="1:8" x14ac:dyDescent="0.25">
      <c r="A269" s="20" t="s">
        <v>943</v>
      </c>
      <c r="B269" s="17" t="s">
        <v>379</v>
      </c>
      <c r="C269" s="21" t="s">
        <v>37</v>
      </c>
      <c r="D269" s="21" t="s">
        <v>365</v>
      </c>
      <c r="E269" s="21" t="s">
        <v>376</v>
      </c>
      <c r="F269" s="21" t="s">
        <v>801</v>
      </c>
      <c r="G269" s="21" t="s">
        <v>34</v>
      </c>
      <c r="H269" s="23" t="s">
        <v>32</v>
      </c>
    </row>
    <row r="270" spans="1:8" x14ac:dyDescent="0.25">
      <c r="A270" s="20" t="s">
        <v>381</v>
      </c>
      <c r="B270" s="17" t="s">
        <v>382</v>
      </c>
      <c r="C270" s="21" t="s">
        <v>37</v>
      </c>
      <c r="D270" s="21" t="s">
        <v>365</v>
      </c>
      <c r="E270" s="21" t="s">
        <v>380</v>
      </c>
      <c r="F270" s="21" t="s">
        <v>801</v>
      </c>
      <c r="G270" s="21" t="s">
        <v>34</v>
      </c>
      <c r="H270" s="23" t="s">
        <v>43</v>
      </c>
    </row>
    <row r="271" spans="1:8" x14ac:dyDescent="0.25">
      <c r="A271" s="20" t="s">
        <v>944</v>
      </c>
      <c r="B271" s="17" t="s">
        <v>762</v>
      </c>
      <c r="C271" s="21" t="s">
        <v>37</v>
      </c>
      <c r="D271" s="21" t="s">
        <v>365</v>
      </c>
      <c r="E271" s="21" t="s">
        <v>383</v>
      </c>
      <c r="F271" s="21" t="s">
        <v>801</v>
      </c>
      <c r="G271" s="21" t="s">
        <v>34</v>
      </c>
      <c r="H271" s="23" t="s">
        <v>32</v>
      </c>
    </row>
    <row r="272" spans="1:8" x14ac:dyDescent="0.25">
      <c r="A272" s="20" t="s">
        <v>384</v>
      </c>
      <c r="B272" s="17" t="s">
        <v>673</v>
      </c>
      <c r="C272" s="21" t="s">
        <v>1023</v>
      </c>
      <c r="D272" s="21" t="s">
        <v>365</v>
      </c>
      <c r="E272" s="21" t="s">
        <v>383</v>
      </c>
      <c r="F272" s="21" t="s">
        <v>801</v>
      </c>
      <c r="G272" s="21" t="s">
        <v>34</v>
      </c>
      <c r="H272" s="23" t="s">
        <v>43</v>
      </c>
    </row>
    <row r="273" spans="1:8" x14ac:dyDescent="0.25">
      <c r="A273" s="20" t="s">
        <v>558</v>
      </c>
      <c r="B273" s="17" t="s">
        <v>559</v>
      </c>
      <c r="D273" s="21" t="s">
        <v>365</v>
      </c>
      <c r="E273" s="21" t="s">
        <v>385</v>
      </c>
      <c r="F273" s="21" t="s">
        <v>1025</v>
      </c>
      <c r="G273" s="21" t="s">
        <v>548</v>
      </c>
      <c r="H273" s="23" t="s">
        <v>32</v>
      </c>
    </row>
    <row r="274" spans="1:8" x14ac:dyDescent="0.25">
      <c r="A274" s="20" t="s">
        <v>945</v>
      </c>
      <c r="B274" s="17" t="s">
        <v>387</v>
      </c>
      <c r="C274" s="21" t="s">
        <v>37</v>
      </c>
      <c r="D274" s="21" t="s">
        <v>365</v>
      </c>
      <c r="E274" s="21" t="s">
        <v>386</v>
      </c>
      <c r="F274" s="21" t="s">
        <v>801</v>
      </c>
      <c r="G274" s="21" t="s">
        <v>34</v>
      </c>
      <c r="H274" s="23" t="s">
        <v>32</v>
      </c>
    </row>
    <row r="275" spans="1:8" x14ac:dyDescent="0.25">
      <c r="A275" s="20" t="s">
        <v>388</v>
      </c>
      <c r="B275" s="17" t="s">
        <v>389</v>
      </c>
      <c r="C275" s="21" t="s">
        <v>1023</v>
      </c>
      <c r="D275" s="21" t="s">
        <v>365</v>
      </c>
      <c r="E275" s="21" t="s">
        <v>390</v>
      </c>
      <c r="F275" s="21" t="s">
        <v>801</v>
      </c>
      <c r="G275" s="21" t="s">
        <v>34</v>
      </c>
      <c r="H275" s="23" t="s">
        <v>43</v>
      </c>
    </row>
    <row r="276" spans="1:8" x14ac:dyDescent="0.25">
      <c r="A276" s="20" t="s">
        <v>946</v>
      </c>
      <c r="B276" s="17" t="s">
        <v>391</v>
      </c>
      <c r="C276" s="21" t="s">
        <v>37</v>
      </c>
      <c r="D276" s="21" t="s">
        <v>365</v>
      </c>
      <c r="E276" s="21" t="s">
        <v>390</v>
      </c>
      <c r="F276" s="21" t="s">
        <v>801</v>
      </c>
      <c r="G276" s="21" t="s">
        <v>34</v>
      </c>
      <c r="H276" s="23" t="s">
        <v>32</v>
      </c>
    </row>
    <row r="277" spans="1:8" x14ac:dyDescent="0.25">
      <c r="A277" s="20" t="s">
        <v>947</v>
      </c>
      <c r="B277" s="17" t="s">
        <v>763</v>
      </c>
      <c r="D277" s="21" t="s">
        <v>365</v>
      </c>
      <c r="E277" s="21" t="s">
        <v>390</v>
      </c>
      <c r="F277" s="21" t="s">
        <v>1025</v>
      </c>
      <c r="G277" s="21" t="s">
        <v>1097</v>
      </c>
      <c r="H277" s="23" t="s">
        <v>32</v>
      </c>
    </row>
    <row r="278" spans="1:8" x14ac:dyDescent="0.25">
      <c r="A278" s="20" t="s">
        <v>948</v>
      </c>
      <c r="B278" s="17" t="s">
        <v>764</v>
      </c>
      <c r="D278" s="21" t="s">
        <v>365</v>
      </c>
      <c r="E278" s="21" t="s">
        <v>795</v>
      </c>
      <c r="F278" s="21" t="s">
        <v>1025</v>
      </c>
      <c r="G278" s="21" t="s">
        <v>1097</v>
      </c>
      <c r="H278" s="23" t="s">
        <v>32</v>
      </c>
    </row>
    <row r="279" spans="1:8" x14ac:dyDescent="0.25">
      <c r="A279" s="20" t="s">
        <v>949</v>
      </c>
      <c r="B279" s="17" t="s">
        <v>392</v>
      </c>
      <c r="C279" s="21" t="s">
        <v>37</v>
      </c>
      <c r="D279" s="21" t="s">
        <v>365</v>
      </c>
      <c r="E279" s="21" t="s">
        <v>393</v>
      </c>
      <c r="F279" s="21" t="s">
        <v>801</v>
      </c>
      <c r="G279" s="21" t="s">
        <v>34</v>
      </c>
      <c r="H279" s="23" t="s">
        <v>43</v>
      </c>
    </row>
    <row r="280" spans="1:8" x14ac:dyDescent="0.25">
      <c r="A280" s="20" t="s">
        <v>950</v>
      </c>
      <c r="B280" s="17" t="s">
        <v>687</v>
      </c>
      <c r="D280" s="21" t="s">
        <v>365</v>
      </c>
      <c r="E280" s="21" t="s">
        <v>393</v>
      </c>
      <c r="F280" s="21" t="s">
        <v>1025</v>
      </c>
      <c r="G280" s="21" t="s">
        <v>1097</v>
      </c>
      <c r="H280" s="23" t="s">
        <v>32</v>
      </c>
    </row>
    <row r="281" spans="1:8" x14ac:dyDescent="0.25">
      <c r="A281" s="20" t="s">
        <v>951</v>
      </c>
      <c r="B281" s="17" t="s">
        <v>395</v>
      </c>
      <c r="C281" s="21" t="s">
        <v>37</v>
      </c>
      <c r="D281" s="21" t="s">
        <v>365</v>
      </c>
      <c r="E281" s="21" t="s">
        <v>394</v>
      </c>
      <c r="F281" s="21" t="s">
        <v>801</v>
      </c>
      <c r="G281" s="21" t="s">
        <v>34</v>
      </c>
      <c r="H281" s="23" t="s">
        <v>43</v>
      </c>
    </row>
    <row r="282" spans="1:8" x14ac:dyDescent="0.25">
      <c r="A282" s="20" t="s">
        <v>952</v>
      </c>
      <c r="B282" s="17" t="s">
        <v>1073</v>
      </c>
      <c r="D282" s="21" t="s">
        <v>396</v>
      </c>
      <c r="E282" s="21" t="s">
        <v>397</v>
      </c>
      <c r="F282" s="21" t="s">
        <v>1025</v>
      </c>
      <c r="G282" s="21" t="s">
        <v>1098</v>
      </c>
      <c r="H282" s="23" t="s">
        <v>32</v>
      </c>
    </row>
    <row r="283" spans="1:8" x14ac:dyDescent="0.25">
      <c r="A283" s="20" t="s">
        <v>398</v>
      </c>
      <c r="B283" s="17" t="s">
        <v>399</v>
      </c>
      <c r="C283" s="21" t="s">
        <v>1023</v>
      </c>
      <c r="D283" s="21" t="s">
        <v>396</v>
      </c>
      <c r="E283" s="21" t="s">
        <v>397</v>
      </c>
      <c r="F283" s="21" t="s">
        <v>1024</v>
      </c>
      <c r="G283" s="21" t="s">
        <v>34</v>
      </c>
      <c r="H283" s="23" t="s">
        <v>43</v>
      </c>
    </row>
    <row r="284" spans="1:8" x14ac:dyDescent="0.25">
      <c r="A284" s="20" t="s">
        <v>953</v>
      </c>
      <c r="B284" s="17" t="s">
        <v>400</v>
      </c>
      <c r="C284" s="21" t="s">
        <v>37</v>
      </c>
      <c r="D284" s="21" t="s">
        <v>401</v>
      </c>
      <c r="E284" s="21" t="s">
        <v>402</v>
      </c>
      <c r="F284" s="21" t="s">
        <v>1026</v>
      </c>
      <c r="G284" s="21" t="s">
        <v>34</v>
      </c>
      <c r="H284" s="23" t="s">
        <v>32</v>
      </c>
    </row>
    <row r="285" spans="1:8" x14ac:dyDescent="0.25">
      <c r="A285" s="20" t="s">
        <v>404</v>
      </c>
      <c r="B285" s="17" t="s">
        <v>405</v>
      </c>
      <c r="C285" s="21" t="s">
        <v>37</v>
      </c>
      <c r="D285" s="21" t="s">
        <v>401</v>
      </c>
      <c r="E285" s="21" t="s">
        <v>403</v>
      </c>
      <c r="F285" s="21" t="s">
        <v>1026</v>
      </c>
      <c r="G285" s="21" t="s">
        <v>34</v>
      </c>
      <c r="H285" s="23" t="s">
        <v>32</v>
      </c>
    </row>
    <row r="286" spans="1:8" x14ac:dyDescent="0.25">
      <c r="A286" s="20" t="s">
        <v>954</v>
      </c>
      <c r="B286" s="17" t="s">
        <v>765</v>
      </c>
      <c r="D286" s="21" t="s">
        <v>401</v>
      </c>
      <c r="E286" s="21" t="s">
        <v>403</v>
      </c>
      <c r="F286" s="21" t="s">
        <v>1025</v>
      </c>
      <c r="G286" s="21" t="s">
        <v>548</v>
      </c>
      <c r="H286" s="23" t="s">
        <v>32</v>
      </c>
    </row>
    <row r="287" spans="1:8" x14ac:dyDescent="0.25">
      <c r="A287" s="20" t="s">
        <v>955</v>
      </c>
      <c r="B287" s="17" t="s">
        <v>765</v>
      </c>
      <c r="D287" s="21" t="s">
        <v>401</v>
      </c>
      <c r="E287" s="21" t="s">
        <v>403</v>
      </c>
      <c r="F287" s="21" t="s">
        <v>1025</v>
      </c>
      <c r="G287" s="21" t="s">
        <v>548</v>
      </c>
      <c r="H287" s="23" t="s">
        <v>32</v>
      </c>
    </row>
    <row r="288" spans="1:8" x14ac:dyDescent="0.25">
      <c r="A288" s="20" t="s">
        <v>956</v>
      </c>
      <c r="B288" s="17" t="s">
        <v>766</v>
      </c>
      <c r="C288" s="21" t="s">
        <v>37</v>
      </c>
      <c r="D288" s="21" t="s">
        <v>401</v>
      </c>
      <c r="E288" s="21" t="s">
        <v>406</v>
      </c>
      <c r="F288" s="21" t="s">
        <v>1026</v>
      </c>
      <c r="G288" s="21" t="s">
        <v>34</v>
      </c>
      <c r="H288" s="23" t="s">
        <v>43</v>
      </c>
    </row>
    <row r="289" spans="1:8" x14ac:dyDescent="0.25">
      <c r="A289" s="20" t="s">
        <v>407</v>
      </c>
      <c r="B289" s="17" t="s">
        <v>408</v>
      </c>
      <c r="C289" s="21" t="s">
        <v>37</v>
      </c>
      <c r="D289" s="21" t="s">
        <v>401</v>
      </c>
      <c r="E289" s="21" t="s">
        <v>406</v>
      </c>
      <c r="F289" s="21" t="s">
        <v>1026</v>
      </c>
      <c r="G289" s="21" t="s">
        <v>34</v>
      </c>
      <c r="H289" s="23" t="s">
        <v>43</v>
      </c>
    </row>
    <row r="290" spans="1:8" x14ac:dyDescent="0.25">
      <c r="A290" s="20" t="s">
        <v>410</v>
      </c>
      <c r="B290" s="17" t="s">
        <v>411</v>
      </c>
      <c r="C290" s="21" t="s">
        <v>37</v>
      </c>
      <c r="D290" s="21" t="s">
        <v>401</v>
      </c>
      <c r="E290" s="21" t="s">
        <v>409</v>
      </c>
      <c r="F290" s="21" t="s">
        <v>1026</v>
      </c>
      <c r="G290" s="21" t="s">
        <v>34</v>
      </c>
      <c r="H290" s="23" t="s">
        <v>43</v>
      </c>
    </row>
    <row r="291" spans="1:8" x14ac:dyDescent="0.25">
      <c r="A291" s="20" t="s">
        <v>957</v>
      </c>
      <c r="B291" s="17" t="s">
        <v>767</v>
      </c>
      <c r="D291" s="21" t="s">
        <v>401</v>
      </c>
      <c r="E291" s="21" t="s">
        <v>409</v>
      </c>
      <c r="F291" s="21" t="s">
        <v>1025</v>
      </c>
      <c r="G291" s="21" t="s">
        <v>548</v>
      </c>
      <c r="H291" s="23" t="s">
        <v>32</v>
      </c>
    </row>
    <row r="292" spans="1:8" x14ac:dyDescent="0.25">
      <c r="A292" s="20" t="s">
        <v>623</v>
      </c>
      <c r="B292" s="17" t="s">
        <v>624</v>
      </c>
      <c r="D292" s="21" t="s">
        <v>401</v>
      </c>
      <c r="E292" s="21" t="s">
        <v>412</v>
      </c>
      <c r="F292" s="21" t="s">
        <v>1025</v>
      </c>
      <c r="G292" s="21" t="s">
        <v>548</v>
      </c>
      <c r="H292" s="23" t="s">
        <v>32</v>
      </c>
    </row>
    <row r="293" spans="1:8" x14ac:dyDescent="0.25">
      <c r="A293" s="20" t="s">
        <v>958</v>
      </c>
      <c r="B293" s="17" t="s">
        <v>413</v>
      </c>
      <c r="C293" s="21" t="s">
        <v>37</v>
      </c>
      <c r="D293" s="21" t="s">
        <v>401</v>
      </c>
      <c r="E293" s="21" t="s">
        <v>412</v>
      </c>
      <c r="F293" s="21" t="s">
        <v>1026</v>
      </c>
      <c r="G293" s="21" t="s">
        <v>34</v>
      </c>
      <c r="H293" s="23" t="s">
        <v>43</v>
      </c>
    </row>
    <row r="294" spans="1:8" x14ac:dyDescent="0.25">
      <c r="A294" s="20" t="s">
        <v>959</v>
      </c>
      <c r="B294" s="17" t="s">
        <v>414</v>
      </c>
      <c r="C294" s="21" t="s">
        <v>37</v>
      </c>
      <c r="D294" s="21" t="s">
        <v>401</v>
      </c>
      <c r="E294" s="21" t="s">
        <v>415</v>
      </c>
      <c r="F294" s="21" t="s">
        <v>1026</v>
      </c>
      <c r="G294" s="21" t="s">
        <v>34</v>
      </c>
      <c r="H294" s="23" t="s">
        <v>43</v>
      </c>
    </row>
    <row r="295" spans="1:8" x14ac:dyDescent="0.25">
      <c r="A295" s="20" t="s">
        <v>416</v>
      </c>
      <c r="B295" s="17" t="s">
        <v>417</v>
      </c>
      <c r="C295" s="21" t="s">
        <v>1023</v>
      </c>
      <c r="D295" s="21" t="s">
        <v>401</v>
      </c>
      <c r="E295" s="21" t="s">
        <v>418</v>
      </c>
      <c r="F295" s="21" t="s">
        <v>1026</v>
      </c>
      <c r="G295" s="21" t="s">
        <v>34</v>
      </c>
      <c r="H295" s="23" t="s">
        <v>35</v>
      </c>
    </row>
    <row r="296" spans="1:8" x14ac:dyDescent="0.25">
      <c r="A296" s="20" t="s">
        <v>420</v>
      </c>
      <c r="B296" s="17" t="s">
        <v>421</v>
      </c>
      <c r="C296" s="21" t="s">
        <v>37</v>
      </c>
      <c r="D296" s="21" t="s">
        <v>401</v>
      </c>
      <c r="E296" s="21" t="s">
        <v>419</v>
      </c>
      <c r="F296" s="21" t="s">
        <v>1026</v>
      </c>
      <c r="G296" s="21" t="s">
        <v>34</v>
      </c>
      <c r="H296" s="23" t="s">
        <v>43</v>
      </c>
    </row>
    <row r="297" spans="1:8" x14ac:dyDescent="0.25">
      <c r="A297" s="20" t="s">
        <v>1027</v>
      </c>
      <c r="B297" s="17" t="s">
        <v>1055</v>
      </c>
      <c r="C297" s="21" t="s">
        <v>37</v>
      </c>
      <c r="D297" s="21" t="s">
        <v>401</v>
      </c>
      <c r="E297" s="21" t="s">
        <v>422</v>
      </c>
      <c r="F297" s="21" t="s">
        <v>1026</v>
      </c>
      <c r="G297" s="21" t="s">
        <v>34</v>
      </c>
      <c r="H297" s="23" t="s">
        <v>43</v>
      </c>
    </row>
    <row r="298" spans="1:8" x14ac:dyDescent="0.25">
      <c r="A298" s="20" t="s">
        <v>423</v>
      </c>
      <c r="B298" s="17" t="s">
        <v>551</v>
      </c>
      <c r="C298" s="21" t="s">
        <v>1023</v>
      </c>
      <c r="D298" s="21" t="s">
        <v>401</v>
      </c>
      <c r="E298" s="21" t="s">
        <v>422</v>
      </c>
      <c r="F298" s="21" t="s">
        <v>1026</v>
      </c>
      <c r="G298" s="21" t="s">
        <v>34</v>
      </c>
      <c r="H298" s="23" t="s">
        <v>43</v>
      </c>
    </row>
    <row r="299" spans="1:8" x14ac:dyDescent="0.25">
      <c r="A299" s="20" t="s">
        <v>960</v>
      </c>
      <c r="B299" s="17" t="s">
        <v>477</v>
      </c>
      <c r="C299" s="21" t="s">
        <v>37</v>
      </c>
      <c r="D299" s="21" t="s">
        <v>401</v>
      </c>
      <c r="E299" s="21" t="s">
        <v>422</v>
      </c>
      <c r="F299" s="21" t="s">
        <v>1026</v>
      </c>
      <c r="G299" s="21" t="s">
        <v>34</v>
      </c>
      <c r="H299" s="23" t="s">
        <v>43</v>
      </c>
    </row>
    <row r="300" spans="1:8" x14ac:dyDescent="0.25">
      <c r="A300" s="20" t="s">
        <v>424</v>
      </c>
      <c r="B300" s="17" t="s">
        <v>425</v>
      </c>
      <c r="C300" s="21" t="s">
        <v>37</v>
      </c>
      <c r="D300" s="21" t="s">
        <v>401</v>
      </c>
      <c r="E300" s="21" t="s">
        <v>426</v>
      </c>
      <c r="F300" s="21" t="s">
        <v>1026</v>
      </c>
      <c r="G300" s="21" t="s">
        <v>34</v>
      </c>
      <c r="H300" s="23" t="s">
        <v>43</v>
      </c>
    </row>
    <row r="301" spans="1:8" x14ac:dyDescent="0.25">
      <c r="A301" s="20" t="s">
        <v>961</v>
      </c>
      <c r="B301" s="17" t="s">
        <v>696</v>
      </c>
      <c r="C301" s="21" t="s">
        <v>37</v>
      </c>
      <c r="D301" s="21" t="s">
        <v>401</v>
      </c>
      <c r="E301" s="21" t="s">
        <v>427</v>
      </c>
      <c r="F301" s="21" t="s">
        <v>1026</v>
      </c>
      <c r="G301" s="21" t="s">
        <v>34</v>
      </c>
      <c r="H301" s="23" t="s">
        <v>43</v>
      </c>
    </row>
    <row r="302" spans="1:8" x14ac:dyDescent="0.25">
      <c r="A302" s="20" t="s">
        <v>962</v>
      </c>
      <c r="B302" s="17" t="s">
        <v>768</v>
      </c>
      <c r="C302" s="21" t="s">
        <v>37</v>
      </c>
      <c r="D302" s="21" t="s">
        <v>401</v>
      </c>
      <c r="E302" s="21" t="s">
        <v>796</v>
      </c>
      <c r="F302" s="21" t="s">
        <v>1026</v>
      </c>
      <c r="G302" s="21" t="s">
        <v>34</v>
      </c>
      <c r="H302" s="23" t="s">
        <v>32</v>
      </c>
    </row>
    <row r="303" spans="1:8" x14ac:dyDescent="0.25">
      <c r="A303" s="20" t="s">
        <v>963</v>
      </c>
      <c r="B303" s="17" t="s">
        <v>769</v>
      </c>
      <c r="C303" s="21" t="s">
        <v>37</v>
      </c>
      <c r="D303" s="21" t="s">
        <v>401</v>
      </c>
      <c r="E303" s="21" t="s">
        <v>797</v>
      </c>
      <c r="F303" s="21" t="s">
        <v>1026</v>
      </c>
      <c r="G303" s="21" t="s">
        <v>34</v>
      </c>
      <c r="H303" s="23" t="s">
        <v>32</v>
      </c>
    </row>
    <row r="304" spans="1:8" x14ac:dyDescent="0.25">
      <c r="A304" s="20" t="s">
        <v>1091</v>
      </c>
      <c r="B304" s="17" t="s">
        <v>1074</v>
      </c>
      <c r="D304" s="21" t="s">
        <v>401</v>
      </c>
      <c r="E304" s="21" t="s">
        <v>797</v>
      </c>
      <c r="F304" s="21" t="s">
        <v>1025</v>
      </c>
      <c r="G304" s="21" t="s">
        <v>1097</v>
      </c>
      <c r="H304" s="23" t="s">
        <v>32</v>
      </c>
    </row>
    <row r="305" spans="1:8" x14ac:dyDescent="0.25">
      <c r="A305" s="20" t="s">
        <v>429</v>
      </c>
      <c r="B305" s="17" t="s">
        <v>430</v>
      </c>
      <c r="C305" s="21" t="s">
        <v>37</v>
      </c>
      <c r="D305" s="21" t="s">
        <v>401</v>
      </c>
      <c r="E305" s="21" t="s">
        <v>428</v>
      </c>
      <c r="F305" s="21" t="s">
        <v>1026</v>
      </c>
      <c r="G305" s="21" t="s">
        <v>34</v>
      </c>
      <c r="H305" s="23" t="s">
        <v>43</v>
      </c>
    </row>
    <row r="306" spans="1:8" x14ac:dyDescent="0.25">
      <c r="A306" s="20" t="s">
        <v>964</v>
      </c>
      <c r="B306" s="17" t="s">
        <v>770</v>
      </c>
      <c r="C306" s="21" t="s">
        <v>37</v>
      </c>
      <c r="D306" s="21" t="s">
        <v>401</v>
      </c>
      <c r="E306" s="21" t="s">
        <v>798</v>
      </c>
      <c r="F306" s="21" t="s">
        <v>1026</v>
      </c>
      <c r="G306" s="21" t="s">
        <v>34</v>
      </c>
      <c r="H306" s="23" t="s">
        <v>32</v>
      </c>
    </row>
    <row r="307" spans="1:8" x14ac:dyDescent="0.25">
      <c r="A307" s="20" t="s">
        <v>1028</v>
      </c>
      <c r="B307" s="17" t="s">
        <v>1056</v>
      </c>
      <c r="C307" s="21" t="s">
        <v>37</v>
      </c>
      <c r="D307" s="21" t="s">
        <v>401</v>
      </c>
      <c r="E307" s="21" t="s">
        <v>1031</v>
      </c>
      <c r="F307" s="21" t="s">
        <v>1026</v>
      </c>
      <c r="G307" s="21" t="s">
        <v>34</v>
      </c>
      <c r="H307" s="23" t="s">
        <v>43</v>
      </c>
    </row>
    <row r="308" spans="1:8" x14ac:dyDescent="0.25">
      <c r="A308" s="20" t="s">
        <v>1092</v>
      </c>
      <c r="B308" s="17" t="s">
        <v>1075</v>
      </c>
      <c r="D308" s="21" t="s">
        <v>401</v>
      </c>
      <c r="E308" s="21" t="s">
        <v>1096</v>
      </c>
      <c r="F308" s="21" t="s">
        <v>1025</v>
      </c>
      <c r="G308" s="21" t="s">
        <v>1097</v>
      </c>
      <c r="H308" s="23" t="s">
        <v>32</v>
      </c>
    </row>
    <row r="309" spans="1:8" x14ac:dyDescent="0.25">
      <c r="A309" s="20" t="s">
        <v>965</v>
      </c>
      <c r="B309" s="17" t="s">
        <v>432</v>
      </c>
      <c r="C309" s="21" t="s">
        <v>37</v>
      </c>
      <c r="D309" s="21" t="s">
        <v>401</v>
      </c>
      <c r="E309" s="21" t="s">
        <v>431</v>
      </c>
      <c r="F309" s="21" t="s">
        <v>1026</v>
      </c>
      <c r="G309" s="21" t="s">
        <v>34</v>
      </c>
      <c r="H309" s="23" t="s">
        <v>43</v>
      </c>
    </row>
    <row r="310" spans="1:8" x14ac:dyDescent="0.25">
      <c r="A310" s="20" t="s">
        <v>966</v>
      </c>
      <c r="B310" s="17" t="s">
        <v>433</v>
      </c>
      <c r="C310" s="21" t="s">
        <v>37</v>
      </c>
      <c r="D310" s="21" t="s">
        <v>401</v>
      </c>
      <c r="E310" s="21" t="s">
        <v>434</v>
      </c>
      <c r="F310" s="21" t="s">
        <v>1026</v>
      </c>
      <c r="G310" s="21" t="s">
        <v>34</v>
      </c>
      <c r="H310" s="23" t="s">
        <v>43</v>
      </c>
    </row>
    <row r="311" spans="1:8" x14ac:dyDescent="0.25">
      <c r="A311" s="20" t="s">
        <v>576</v>
      </c>
      <c r="B311" s="17" t="s">
        <v>577</v>
      </c>
      <c r="D311" s="21" t="s">
        <v>401</v>
      </c>
      <c r="E311" s="21" t="s">
        <v>435</v>
      </c>
      <c r="F311" s="21" t="s">
        <v>1025</v>
      </c>
      <c r="G311" s="21" t="s">
        <v>1097</v>
      </c>
      <c r="H311" s="23" t="s">
        <v>32</v>
      </c>
    </row>
    <row r="312" spans="1:8" x14ac:dyDescent="0.25">
      <c r="A312" s="20" t="s">
        <v>967</v>
      </c>
      <c r="B312" s="17" t="s">
        <v>1057</v>
      </c>
      <c r="C312" s="21" t="s">
        <v>37</v>
      </c>
      <c r="D312" s="21" t="s">
        <v>401</v>
      </c>
      <c r="E312" s="21" t="s">
        <v>436</v>
      </c>
      <c r="F312" s="21" t="s">
        <v>1026</v>
      </c>
      <c r="G312" s="21" t="s">
        <v>34</v>
      </c>
      <c r="H312" s="23" t="s">
        <v>32</v>
      </c>
    </row>
    <row r="313" spans="1:8" x14ac:dyDescent="0.25">
      <c r="A313" s="20" t="s">
        <v>968</v>
      </c>
      <c r="B313" s="17" t="s">
        <v>694</v>
      </c>
      <c r="D313" s="21" t="s">
        <v>401</v>
      </c>
      <c r="E313" s="21" t="s">
        <v>436</v>
      </c>
      <c r="F313" s="21" t="s">
        <v>1025</v>
      </c>
      <c r="G313" s="21" t="s">
        <v>802</v>
      </c>
      <c r="H313" s="23" t="s">
        <v>43</v>
      </c>
    </row>
    <row r="314" spans="1:8" x14ac:dyDescent="0.25">
      <c r="A314" s="20" t="s">
        <v>438</v>
      </c>
      <c r="B314" s="17" t="s">
        <v>439</v>
      </c>
      <c r="C314" s="21" t="s">
        <v>37</v>
      </c>
      <c r="D314" s="21" t="s">
        <v>401</v>
      </c>
      <c r="E314" s="21" t="s">
        <v>437</v>
      </c>
      <c r="F314" s="21" t="s">
        <v>1026</v>
      </c>
      <c r="G314" s="21" t="s">
        <v>34</v>
      </c>
      <c r="H314" s="23" t="s">
        <v>43</v>
      </c>
    </row>
    <row r="315" spans="1:8" x14ac:dyDescent="0.25">
      <c r="A315" s="20" t="s">
        <v>969</v>
      </c>
      <c r="B315" s="17" t="s">
        <v>440</v>
      </c>
      <c r="C315" s="21" t="s">
        <v>37</v>
      </c>
      <c r="D315" s="21" t="s">
        <v>401</v>
      </c>
      <c r="E315" s="21" t="s">
        <v>437</v>
      </c>
      <c r="F315" s="21" t="s">
        <v>1026</v>
      </c>
      <c r="G315" s="21" t="s">
        <v>34</v>
      </c>
      <c r="H315" s="23" t="s">
        <v>32</v>
      </c>
    </row>
    <row r="316" spans="1:8" x14ac:dyDescent="0.25">
      <c r="A316" s="20" t="s">
        <v>441</v>
      </c>
      <c r="B316" s="17" t="s">
        <v>442</v>
      </c>
      <c r="C316" s="21" t="s">
        <v>37</v>
      </c>
      <c r="D316" s="21" t="s">
        <v>401</v>
      </c>
      <c r="E316" s="21" t="s">
        <v>443</v>
      </c>
      <c r="F316" s="21" t="s">
        <v>1026</v>
      </c>
      <c r="G316" s="21" t="s">
        <v>34</v>
      </c>
      <c r="H316" s="23" t="s">
        <v>43</v>
      </c>
    </row>
    <row r="317" spans="1:8" x14ac:dyDescent="0.25">
      <c r="A317" s="20" t="s">
        <v>444</v>
      </c>
      <c r="B317" s="17" t="s">
        <v>771</v>
      </c>
      <c r="C317" s="21" t="s">
        <v>37</v>
      </c>
      <c r="D317" s="21" t="s">
        <v>401</v>
      </c>
      <c r="E317" s="21" t="s">
        <v>445</v>
      </c>
      <c r="F317" s="21" t="s">
        <v>1026</v>
      </c>
      <c r="G317" s="21" t="s">
        <v>34</v>
      </c>
      <c r="H317" s="23" t="s">
        <v>43</v>
      </c>
    </row>
    <row r="318" spans="1:8" x14ac:dyDescent="0.25">
      <c r="A318" s="20" t="s">
        <v>970</v>
      </c>
      <c r="B318" s="17" t="s">
        <v>447</v>
      </c>
      <c r="C318" s="21" t="s">
        <v>37</v>
      </c>
      <c r="D318" s="21" t="s">
        <v>401</v>
      </c>
      <c r="E318" s="21" t="s">
        <v>446</v>
      </c>
      <c r="F318" s="21" t="s">
        <v>1026</v>
      </c>
      <c r="G318" s="21" t="s">
        <v>34</v>
      </c>
      <c r="H318" s="23" t="s">
        <v>43</v>
      </c>
    </row>
    <row r="319" spans="1:8" x14ac:dyDescent="0.25">
      <c r="A319" s="20" t="s">
        <v>448</v>
      </c>
      <c r="B319" s="17" t="s">
        <v>449</v>
      </c>
      <c r="C319" s="21" t="s">
        <v>37</v>
      </c>
      <c r="D319" s="21" t="s">
        <v>401</v>
      </c>
      <c r="E319" s="21" t="s">
        <v>450</v>
      </c>
      <c r="F319" s="21" t="s">
        <v>1026</v>
      </c>
      <c r="G319" s="21" t="s">
        <v>34</v>
      </c>
      <c r="H319" s="23" t="s">
        <v>43</v>
      </c>
    </row>
    <row r="320" spans="1:8" x14ac:dyDescent="0.25">
      <c r="A320" s="20" t="s">
        <v>971</v>
      </c>
      <c r="B320" s="17" t="s">
        <v>773</v>
      </c>
      <c r="D320" s="21" t="s">
        <v>401</v>
      </c>
      <c r="E320" s="21" t="s">
        <v>452</v>
      </c>
      <c r="F320" s="21" t="s">
        <v>1025</v>
      </c>
      <c r="G320" s="21" t="s">
        <v>1097</v>
      </c>
      <c r="H320" s="23" t="s">
        <v>32</v>
      </c>
    </row>
    <row r="321" spans="1:8" x14ac:dyDescent="0.25">
      <c r="A321" s="20" t="s">
        <v>972</v>
      </c>
      <c r="B321" s="17" t="s">
        <v>772</v>
      </c>
      <c r="C321" s="21" t="s">
        <v>37</v>
      </c>
      <c r="D321" s="21" t="s">
        <v>401</v>
      </c>
      <c r="E321" s="21" t="s">
        <v>452</v>
      </c>
      <c r="F321" s="21" t="s">
        <v>1026</v>
      </c>
      <c r="G321" s="21" t="s">
        <v>34</v>
      </c>
      <c r="H321" s="23" t="s">
        <v>32</v>
      </c>
    </row>
    <row r="322" spans="1:8" x14ac:dyDescent="0.25">
      <c r="A322" s="20" t="s">
        <v>451</v>
      </c>
      <c r="B322" s="17" t="s">
        <v>620</v>
      </c>
      <c r="C322" s="21" t="s">
        <v>1023</v>
      </c>
      <c r="D322" s="21" t="s">
        <v>401</v>
      </c>
      <c r="E322" s="21" t="s">
        <v>452</v>
      </c>
      <c r="F322" s="21" t="s">
        <v>1026</v>
      </c>
      <c r="G322" s="21" t="s">
        <v>1030</v>
      </c>
      <c r="H322" s="23" t="s">
        <v>43</v>
      </c>
    </row>
    <row r="323" spans="1:8" x14ac:dyDescent="0.25">
      <c r="A323" s="20" t="s">
        <v>973</v>
      </c>
      <c r="B323" s="17" t="s">
        <v>1058</v>
      </c>
      <c r="C323" s="21" t="s">
        <v>37</v>
      </c>
      <c r="D323" s="21" t="s">
        <v>401</v>
      </c>
      <c r="E323" s="21" t="s">
        <v>1021</v>
      </c>
      <c r="F323" s="21" t="s">
        <v>1026</v>
      </c>
      <c r="G323" s="21" t="s">
        <v>34</v>
      </c>
      <c r="H323" s="23" t="s">
        <v>32</v>
      </c>
    </row>
    <row r="324" spans="1:8" x14ac:dyDescent="0.25">
      <c r="A324" s="20" t="s">
        <v>974</v>
      </c>
      <c r="B324" s="17" t="s">
        <v>774</v>
      </c>
      <c r="D324" s="21" t="s">
        <v>401</v>
      </c>
      <c r="E324" s="21" t="s">
        <v>799</v>
      </c>
      <c r="F324" s="21" t="s">
        <v>1025</v>
      </c>
      <c r="G324" s="21" t="s">
        <v>1097</v>
      </c>
      <c r="H324" s="23" t="s">
        <v>32</v>
      </c>
    </row>
    <row r="325" spans="1:8" x14ac:dyDescent="0.25">
      <c r="A325" s="20" t="s">
        <v>454</v>
      </c>
      <c r="B325" s="17" t="s">
        <v>455</v>
      </c>
      <c r="C325" s="21" t="s">
        <v>37</v>
      </c>
      <c r="D325" s="21" t="s">
        <v>401</v>
      </c>
      <c r="E325" s="21" t="s">
        <v>453</v>
      </c>
      <c r="F325" s="21" t="s">
        <v>1026</v>
      </c>
      <c r="G325" s="21" t="s">
        <v>34</v>
      </c>
      <c r="H325" s="23" t="s">
        <v>43</v>
      </c>
    </row>
    <row r="326" spans="1:8" x14ac:dyDescent="0.25">
      <c r="A326" s="20" t="s">
        <v>1093</v>
      </c>
      <c r="B326" s="17" t="s">
        <v>1076</v>
      </c>
      <c r="D326" s="21" t="s">
        <v>401</v>
      </c>
      <c r="E326" s="21" t="s">
        <v>456</v>
      </c>
      <c r="F326" s="21" t="s">
        <v>1025</v>
      </c>
      <c r="G326" s="21" t="s">
        <v>802</v>
      </c>
      <c r="H326" s="23" t="s">
        <v>43</v>
      </c>
    </row>
    <row r="327" spans="1:8" x14ac:dyDescent="0.25">
      <c r="A327" s="20" t="s">
        <v>618</v>
      </c>
      <c r="B327" s="17" t="s">
        <v>619</v>
      </c>
      <c r="D327" s="21" t="s">
        <v>401</v>
      </c>
      <c r="E327" s="21" t="s">
        <v>456</v>
      </c>
      <c r="F327" s="21" t="s">
        <v>1025</v>
      </c>
      <c r="G327" s="21" t="s">
        <v>548</v>
      </c>
      <c r="H327" s="23" t="s">
        <v>32</v>
      </c>
    </row>
    <row r="328" spans="1:8" x14ac:dyDescent="0.25">
      <c r="A328" s="20" t="s">
        <v>457</v>
      </c>
      <c r="B328" s="17" t="s">
        <v>458</v>
      </c>
      <c r="C328" s="21" t="s">
        <v>1023</v>
      </c>
      <c r="D328" s="21" t="s">
        <v>401</v>
      </c>
      <c r="E328" s="21" t="s">
        <v>456</v>
      </c>
      <c r="F328" s="21" t="s">
        <v>1026</v>
      </c>
      <c r="G328" s="21" t="s">
        <v>1030</v>
      </c>
      <c r="H328" s="23" t="s">
        <v>43</v>
      </c>
    </row>
    <row r="329" spans="1:8" x14ac:dyDescent="0.25">
      <c r="A329" s="20" t="s">
        <v>975</v>
      </c>
      <c r="B329" s="17" t="s">
        <v>775</v>
      </c>
      <c r="D329" s="21" t="s">
        <v>401</v>
      </c>
      <c r="E329" s="21" t="s">
        <v>459</v>
      </c>
      <c r="F329" s="21" t="s">
        <v>1025</v>
      </c>
      <c r="G329" s="21" t="s">
        <v>1097</v>
      </c>
      <c r="H329" s="23" t="s">
        <v>32</v>
      </c>
    </row>
    <row r="330" spans="1:8" x14ac:dyDescent="0.25">
      <c r="A330" s="20" t="s">
        <v>642</v>
      </c>
      <c r="B330" s="17" t="s">
        <v>643</v>
      </c>
      <c r="D330" s="21" t="s">
        <v>401</v>
      </c>
      <c r="E330" s="21" t="s">
        <v>460</v>
      </c>
      <c r="F330" s="21" t="s">
        <v>1025</v>
      </c>
      <c r="G330" s="21" t="s">
        <v>548</v>
      </c>
      <c r="H330" s="23" t="s">
        <v>32</v>
      </c>
    </row>
    <row r="331" spans="1:8" x14ac:dyDescent="0.25">
      <c r="A331" s="20" t="s">
        <v>976</v>
      </c>
      <c r="B331" s="17" t="s">
        <v>461</v>
      </c>
      <c r="C331" s="21" t="s">
        <v>37</v>
      </c>
      <c r="D331" s="21" t="s">
        <v>401</v>
      </c>
      <c r="E331" s="21" t="s">
        <v>460</v>
      </c>
      <c r="F331" s="21" t="s">
        <v>1026</v>
      </c>
      <c r="G331" s="21" t="s">
        <v>34</v>
      </c>
      <c r="H331" s="23" t="s">
        <v>43</v>
      </c>
    </row>
    <row r="332" spans="1:8" x14ac:dyDescent="0.25">
      <c r="A332" s="20" t="s">
        <v>977</v>
      </c>
      <c r="B332" s="17" t="s">
        <v>692</v>
      </c>
      <c r="D332" s="21" t="s">
        <v>401</v>
      </c>
      <c r="E332" s="21" t="s">
        <v>462</v>
      </c>
      <c r="F332" s="21" t="s">
        <v>1025</v>
      </c>
      <c r="G332" s="21" t="s">
        <v>1097</v>
      </c>
      <c r="H332" s="23" t="s">
        <v>32</v>
      </c>
    </row>
    <row r="333" spans="1:8" x14ac:dyDescent="0.25">
      <c r="A333" s="20" t="s">
        <v>463</v>
      </c>
      <c r="B333" s="17" t="s">
        <v>464</v>
      </c>
      <c r="C333" s="21" t="s">
        <v>1023</v>
      </c>
      <c r="D333" s="21" t="s">
        <v>401</v>
      </c>
      <c r="E333" s="21" t="s">
        <v>462</v>
      </c>
      <c r="F333" s="21" t="s">
        <v>1026</v>
      </c>
      <c r="G333" s="21" t="s">
        <v>34</v>
      </c>
      <c r="H333" s="23" t="s">
        <v>43</v>
      </c>
    </row>
    <row r="334" spans="1:8" x14ac:dyDescent="0.25">
      <c r="A334" s="20" t="s">
        <v>978</v>
      </c>
      <c r="B334" s="17" t="s">
        <v>776</v>
      </c>
      <c r="C334" s="21" t="s">
        <v>37</v>
      </c>
      <c r="D334" s="21" t="s">
        <v>401</v>
      </c>
      <c r="E334" s="21" t="s">
        <v>800</v>
      </c>
      <c r="F334" s="21" t="s">
        <v>1026</v>
      </c>
      <c r="G334" s="21" t="s">
        <v>34</v>
      </c>
      <c r="H334" s="23" t="s">
        <v>32</v>
      </c>
    </row>
    <row r="335" spans="1:8" x14ac:dyDescent="0.25">
      <c r="A335" s="20" t="s">
        <v>465</v>
      </c>
      <c r="B335" s="17" t="s">
        <v>466</v>
      </c>
      <c r="C335" s="21" t="s">
        <v>37</v>
      </c>
      <c r="D335" s="21" t="s">
        <v>401</v>
      </c>
      <c r="E335" s="21" t="s">
        <v>467</v>
      </c>
      <c r="F335" s="21" t="s">
        <v>1026</v>
      </c>
      <c r="G335" s="21" t="s">
        <v>34</v>
      </c>
      <c r="H335" s="23" t="s">
        <v>43</v>
      </c>
    </row>
    <row r="336" spans="1:8" x14ac:dyDescent="0.25">
      <c r="A336" s="20" t="s">
        <v>469</v>
      </c>
      <c r="B336" s="17" t="s">
        <v>470</v>
      </c>
      <c r="C336" s="21" t="s">
        <v>37</v>
      </c>
      <c r="D336" s="21" t="s">
        <v>401</v>
      </c>
      <c r="E336" s="21" t="s">
        <v>468</v>
      </c>
      <c r="F336" s="21" t="s">
        <v>1026</v>
      </c>
      <c r="G336" s="21" t="s">
        <v>34</v>
      </c>
      <c r="H336" s="23" t="s">
        <v>43</v>
      </c>
    </row>
    <row r="337" spans="1:8" x14ac:dyDescent="0.25">
      <c r="A337" s="20" t="s">
        <v>979</v>
      </c>
      <c r="B337" s="17" t="s">
        <v>471</v>
      </c>
      <c r="C337" s="21" t="s">
        <v>37</v>
      </c>
      <c r="D337" s="21" t="s">
        <v>401</v>
      </c>
      <c r="E337" s="21" t="s">
        <v>468</v>
      </c>
      <c r="F337" s="21" t="s">
        <v>1026</v>
      </c>
      <c r="G337" s="21" t="s">
        <v>34</v>
      </c>
      <c r="H337" s="23" t="s">
        <v>32</v>
      </c>
    </row>
    <row r="338" spans="1:8" x14ac:dyDescent="0.25">
      <c r="A338" s="20" t="s">
        <v>616</v>
      </c>
      <c r="B338" s="17" t="s">
        <v>617</v>
      </c>
      <c r="D338" s="21" t="s">
        <v>401</v>
      </c>
      <c r="E338" s="21" t="s">
        <v>468</v>
      </c>
      <c r="F338" s="21" t="s">
        <v>1025</v>
      </c>
      <c r="G338" s="21" t="s">
        <v>548</v>
      </c>
      <c r="H338" s="23" t="s">
        <v>32</v>
      </c>
    </row>
    <row r="339" spans="1:8" x14ac:dyDescent="0.25">
      <c r="A339" s="20" t="s">
        <v>980</v>
      </c>
      <c r="B339" s="17" t="s">
        <v>684</v>
      </c>
      <c r="D339" s="21" t="s">
        <v>401</v>
      </c>
      <c r="E339" s="21" t="s">
        <v>472</v>
      </c>
      <c r="F339" s="21" t="s">
        <v>1025</v>
      </c>
      <c r="G339" s="21" t="s">
        <v>1097</v>
      </c>
      <c r="H339" s="23" t="s">
        <v>32</v>
      </c>
    </row>
    <row r="340" spans="1:8" x14ac:dyDescent="0.25">
      <c r="A340" s="20" t="s">
        <v>473</v>
      </c>
      <c r="B340" s="17" t="s">
        <v>474</v>
      </c>
      <c r="C340" s="21" t="s">
        <v>37</v>
      </c>
      <c r="D340" s="21" t="s">
        <v>401</v>
      </c>
      <c r="E340" s="21" t="s">
        <v>472</v>
      </c>
      <c r="F340" s="21" t="s">
        <v>1026</v>
      </c>
      <c r="G340" s="21" t="s">
        <v>34</v>
      </c>
      <c r="H340" s="23" t="s">
        <v>43</v>
      </c>
    </row>
    <row r="341" spans="1:8" x14ac:dyDescent="0.25">
      <c r="A341" s="20" t="s">
        <v>981</v>
      </c>
      <c r="B341" s="17" t="s">
        <v>1077</v>
      </c>
      <c r="D341" s="21" t="s">
        <v>401</v>
      </c>
      <c r="E341" s="21" t="s">
        <v>472</v>
      </c>
      <c r="F341" s="21" t="s">
        <v>1025</v>
      </c>
      <c r="G341" s="21" t="s">
        <v>1098</v>
      </c>
      <c r="H341" s="23" t="s">
        <v>32</v>
      </c>
    </row>
    <row r="342" spans="1:8" x14ac:dyDescent="0.25">
      <c r="A342" s="20" t="s">
        <v>723</v>
      </c>
      <c r="B342" s="17" t="s">
        <v>777</v>
      </c>
      <c r="D342" s="21" t="s">
        <v>401</v>
      </c>
      <c r="E342" s="21" t="s">
        <v>475</v>
      </c>
      <c r="F342" s="21" t="s">
        <v>1025</v>
      </c>
      <c r="G342" s="21" t="s">
        <v>1098</v>
      </c>
      <c r="H342" s="23" t="s">
        <v>32</v>
      </c>
    </row>
    <row r="343" spans="1:8" x14ac:dyDescent="0.25">
      <c r="A343" s="20" t="s">
        <v>982</v>
      </c>
      <c r="B343" s="17" t="s">
        <v>672</v>
      </c>
      <c r="D343" s="21" t="s">
        <v>401</v>
      </c>
      <c r="E343" s="21" t="s">
        <v>475</v>
      </c>
      <c r="F343" s="21" t="s">
        <v>1025</v>
      </c>
      <c r="G343" s="21" t="s">
        <v>1097</v>
      </c>
      <c r="H343" s="23" t="s">
        <v>32</v>
      </c>
    </row>
    <row r="344" spans="1:8" x14ac:dyDescent="0.25">
      <c r="A344" s="20" t="s">
        <v>983</v>
      </c>
      <c r="B344" s="17" t="s">
        <v>550</v>
      </c>
      <c r="D344" s="21" t="s">
        <v>401</v>
      </c>
      <c r="E344" s="21" t="s">
        <v>475</v>
      </c>
      <c r="F344" s="21" t="s">
        <v>1025</v>
      </c>
      <c r="G344" s="21" t="s">
        <v>1097</v>
      </c>
      <c r="H344" s="23" t="s">
        <v>32</v>
      </c>
    </row>
    <row r="345" spans="1:8" x14ac:dyDescent="0.25">
      <c r="A345" s="20" t="s">
        <v>1089</v>
      </c>
      <c r="B345" s="17" t="s">
        <v>1065</v>
      </c>
      <c r="D345" s="21" t="s">
        <v>401</v>
      </c>
      <c r="E345" s="21" t="s">
        <v>475</v>
      </c>
      <c r="F345" s="21" t="s">
        <v>1025</v>
      </c>
      <c r="G345" s="21" t="s">
        <v>1097</v>
      </c>
      <c r="H345" s="23" t="s">
        <v>32</v>
      </c>
    </row>
    <row r="346" spans="1:8" x14ac:dyDescent="0.25">
      <c r="A346" s="20" t="s">
        <v>661</v>
      </c>
      <c r="B346" s="17" t="s">
        <v>662</v>
      </c>
      <c r="D346" s="21" t="s">
        <v>401</v>
      </c>
      <c r="E346" s="21" t="s">
        <v>475</v>
      </c>
      <c r="F346" s="21" t="s">
        <v>1025</v>
      </c>
      <c r="G346" s="21" t="s">
        <v>548</v>
      </c>
      <c r="H346" s="23" t="s">
        <v>32</v>
      </c>
    </row>
    <row r="347" spans="1:8" x14ac:dyDescent="0.25">
      <c r="A347" s="20" t="s">
        <v>646</v>
      </c>
      <c r="B347" s="17" t="s">
        <v>647</v>
      </c>
      <c r="D347" s="21" t="s">
        <v>401</v>
      </c>
      <c r="E347" s="21" t="s">
        <v>475</v>
      </c>
      <c r="F347" s="21" t="s">
        <v>1025</v>
      </c>
      <c r="G347" s="21" t="s">
        <v>1097</v>
      </c>
      <c r="H347" s="23" t="s">
        <v>32</v>
      </c>
    </row>
    <row r="348" spans="1:8" x14ac:dyDescent="0.25">
      <c r="A348" s="20" t="s">
        <v>984</v>
      </c>
      <c r="B348" s="17" t="s">
        <v>785</v>
      </c>
      <c r="D348" s="21" t="s">
        <v>401</v>
      </c>
      <c r="E348" s="21" t="s">
        <v>475</v>
      </c>
      <c r="F348" s="21" t="s">
        <v>1025</v>
      </c>
      <c r="G348" s="21" t="s">
        <v>1097</v>
      </c>
      <c r="H348" s="23" t="s">
        <v>32</v>
      </c>
    </row>
    <row r="349" spans="1:8" x14ac:dyDescent="0.25">
      <c r="A349" s="20" t="s">
        <v>985</v>
      </c>
      <c r="B349" s="17" t="s">
        <v>1078</v>
      </c>
      <c r="D349" s="21" t="s">
        <v>401</v>
      </c>
      <c r="E349" s="21" t="s">
        <v>475</v>
      </c>
      <c r="F349" s="21" t="s">
        <v>1025</v>
      </c>
      <c r="G349" s="21" t="s">
        <v>548</v>
      </c>
      <c r="H349" s="23" t="s">
        <v>32</v>
      </c>
    </row>
    <row r="350" spans="1:8" x14ac:dyDescent="0.25">
      <c r="A350" s="20" t="s">
        <v>612</v>
      </c>
      <c r="B350" s="17" t="s">
        <v>613</v>
      </c>
      <c r="D350" s="21" t="s">
        <v>401</v>
      </c>
      <c r="E350" s="21" t="s">
        <v>475</v>
      </c>
      <c r="F350" s="21" t="s">
        <v>1025</v>
      </c>
      <c r="G350" s="21" t="s">
        <v>1097</v>
      </c>
      <c r="H350" s="23" t="s">
        <v>32</v>
      </c>
    </row>
    <row r="351" spans="1:8" x14ac:dyDescent="0.25">
      <c r="A351" s="20" t="s">
        <v>986</v>
      </c>
      <c r="B351" s="17" t="s">
        <v>783</v>
      </c>
      <c r="D351" s="21" t="s">
        <v>401</v>
      </c>
      <c r="E351" s="21" t="s">
        <v>475</v>
      </c>
      <c r="F351" s="21" t="s">
        <v>1025</v>
      </c>
      <c r="G351" s="21" t="s">
        <v>548</v>
      </c>
      <c r="H351" s="23" t="s">
        <v>32</v>
      </c>
    </row>
    <row r="352" spans="1:8" x14ac:dyDescent="0.25">
      <c r="A352" s="20" t="s">
        <v>987</v>
      </c>
      <c r="B352" s="17" t="s">
        <v>733</v>
      </c>
      <c r="D352" s="21" t="s">
        <v>401</v>
      </c>
      <c r="E352" s="21" t="s">
        <v>475</v>
      </c>
      <c r="F352" s="21" t="s">
        <v>1025</v>
      </c>
      <c r="G352" s="21" t="s">
        <v>1097</v>
      </c>
      <c r="H352" s="23" t="s">
        <v>32</v>
      </c>
    </row>
    <row r="353" spans="1:8" x14ac:dyDescent="0.25">
      <c r="A353" s="20" t="s">
        <v>988</v>
      </c>
      <c r="B353" s="17" t="s">
        <v>781</v>
      </c>
      <c r="D353" s="21" t="s">
        <v>401</v>
      </c>
      <c r="E353" s="21" t="s">
        <v>475</v>
      </c>
      <c r="F353" s="21" t="s">
        <v>1025</v>
      </c>
      <c r="G353" s="21" t="s">
        <v>1098</v>
      </c>
      <c r="H353" s="23" t="s">
        <v>32</v>
      </c>
    </row>
    <row r="354" spans="1:8" x14ac:dyDescent="0.25">
      <c r="A354" s="20" t="s">
        <v>989</v>
      </c>
      <c r="B354" s="17" t="s">
        <v>782</v>
      </c>
      <c r="D354" s="21" t="s">
        <v>401</v>
      </c>
      <c r="E354" s="21" t="s">
        <v>475</v>
      </c>
      <c r="F354" s="21" t="s">
        <v>1025</v>
      </c>
      <c r="G354" s="21" t="s">
        <v>1097</v>
      </c>
      <c r="H354" s="23" t="s">
        <v>32</v>
      </c>
    </row>
    <row r="355" spans="1:8" x14ac:dyDescent="0.25">
      <c r="A355" s="20" t="s">
        <v>990</v>
      </c>
      <c r="B355" s="17" t="s">
        <v>695</v>
      </c>
      <c r="D355" s="21" t="s">
        <v>401</v>
      </c>
      <c r="E355" s="21" t="s">
        <v>475</v>
      </c>
      <c r="F355" s="21" t="s">
        <v>1025</v>
      </c>
      <c r="G355" s="21" t="s">
        <v>548</v>
      </c>
      <c r="H355" s="23" t="s">
        <v>32</v>
      </c>
    </row>
    <row r="356" spans="1:8" x14ac:dyDescent="0.25">
      <c r="A356" s="20" t="s">
        <v>627</v>
      </c>
      <c r="B356" s="17" t="s">
        <v>628</v>
      </c>
      <c r="D356" s="21" t="s">
        <v>401</v>
      </c>
      <c r="E356" s="21" t="s">
        <v>475</v>
      </c>
      <c r="F356" s="21" t="s">
        <v>1025</v>
      </c>
      <c r="G356" s="21" t="s">
        <v>1097</v>
      </c>
      <c r="H356" s="23" t="s">
        <v>32</v>
      </c>
    </row>
    <row r="357" spans="1:8" x14ac:dyDescent="0.25">
      <c r="A357" s="20" t="s">
        <v>991</v>
      </c>
      <c r="B357" s="17" t="s">
        <v>480</v>
      </c>
      <c r="C357" s="21" t="s">
        <v>1023</v>
      </c>
      <c r="D357" s="21" t="s">
        <v>401</v>
      </c>
      <c r="E357" s="21" t="s">
        <v>475</v>
      </c>
      <c r="F357" s="21" t="s">
        <v>1026</v>
      </c>
      <c r="G357" s="21" t="s">
        <v>49</v>
      </c>
      <c r="H357" s="23" t="s">
        <v>35</v>
      </c>
    </row>
    <row r="358" spans="1:8" x14ac:dyDescent="0.25">
      <c r="A358" s="20" t="s">
        <v>476</v>
      </c>
      <c r="B358" s="17" t="s">
        <v>477</v>
      </c>
      <c r="C358" s="21" t="s">
        <v>1023</v>
      </c>
      <c r="D358" s="21" t="s">
        <v>401</v>
      </c>
      <c r="E358" s="21" t="s">
        <v>475</v>
      </c>
      <c r="F358" s="21" t="s">
        <v>1026</v>
      </c>
      <c r="G358" s="21" t="s">
        <v>1030</v>
      </c>
      <c r="H358" s="23" t="s">
        <v>43</v>
      </c>
    </row>
    <row r="359" spans="1:8" x14ac:dyDescent="0.25">
      <c r="A359" s="20" t="s">
        <v>656</v>
      </c>
      <c r="B359" s="17" t="s">
        <v>657</v>
      </c>
      <c r="D359" s="21" t="s">
        <v>401</v>
      </c>
      <c r="E359" s="21" t="s">
        <v>475</v>
      </c>
      <c r="F359" s="21" t="s">
        <v>1025</v>
      </c>
      <c r="G359" s="21" t="s">
        <v>1098</v>
      </c>
      <c r="H359" s="23" t="s">
        <v>32</v>
      </c>
    </row>
    <row r="360" spans="1:8" x14ac:dyDescent="0.25">
      <c r="A360" s="20" t="s">
        <v>648</v>
      </c>
      <c r="B360" s="17" t="s">
        <v>649</v>
      </c>
      <c r="D360" s="21" t="s">
        <v>401</v>
      </c>
      <c r="E360" s="21" t="s">
        <v>475</v>
      </c>
      <c r="F360" s="21" t="s">
        <v>1025</v>
      </c>
      <c r="G360" s="21" t="s">
        <v>1097</v>
      </c>
      <c r="H360" s="23" t="s">
        <v>32</v>
      </c>
    </row>
    <row r="361" spans="1:8" x14ac:dyDescent="0.25">
      <c r="A361" s="20" t="s">
        <v>992</v>
      </c>
      <c r="B361" s="17" t="s">
        <v>1079</v>
      </c>
      <c r="D361" s="21" t="s">
        <v>401</v>
      </c>
      <c r="E361" s="21" t="s">
        <v>475</v>
      </c>
      <c r="F361" s="21" t="s">
        <v>1025</v>
      </c>
      <c r="G361" s="21" t="s">
        <v>548</v>
      </c>
      <c r="H361" s="23" t="s">
        <v>32</v>
      </c>
    </row>
    <row r="362" spans="1:8" x14ac:dyDescent="0.25">
      <c r="A362" s="20" t="s">
        <v>637</v>
      </c>
      <c r="B362" s="17" t="s">
        <v>638</v>
      </c>
      <c r="D362" s="21" t="s">
        <v>401</v>
      </c>
      <c r="E362" s="21" t="s">
        <v>475</v>
      </c>
      <c r="F362" s="21" t="s">
        <v>1025</v>
      </c>
      <c r="G362" s="21" t="s">
        <v>1097</v>
      </c>
      <c r="H362" s="23" t="s">
        <v>32</v>
      </c>
    </row>
    <row r="363" spans="1:8" x14ac:dyDescent="0.25">
      <c r="A363" s="20" t="s">
        <v>640</v>
      </c>
      <c r="B363" s="17" t="s">
        <v>641</v>
      </c>
      <c r="D363" s="21" t="s">
        <v>401</v>
      </c>
      <c r="E363" s="21" t="s">
        <v>475</v>
      </c>
      <c r="F363" s="21" t="s">
        <v>1025</v>
      </c>
      <c r="G363" s="21" t="s">
        <v>1098</v>
      </c>
      <c r="H363" s="23" t="s">
        <v>32</v>
      </c>
    </row>
    <row r="364" spans="1:8" x14ac:dyDescent="0.25">
      <c r="A364" s="20" t="s">
        <v>478</v>
      </c>
      <c r="B364" s="17" t="s">
        <v>479</v>
      </c>
      <c r="C364" s="21" t="s">
        <v>1023</v>
      </c>
      <c r="D364" s="21" t="s">
        <v>401</v>
      </c>
      <c r="E364" s="21" t="s">
        <v>475</v>
      </c>
      <c r="F364" s="21" t="s">
        <v>1026</v>
      </c>
      <c r="G364" s="21" t="s">
        <v>34</v>
      </c>
      <c r="H364" s="23" t="s">
        <v>43</v>
      </c>
    </row>
    <row r="365" spans="1:8" x14ac:dyDescent="0.25">
      <c r="A365" s="20" t="s">
        <v>611</v>
      </c>
      <c r="B365" s="17" t="s">
        <v>778</v>
      </c>
      <c r="D365" s="21" t="s">
        <v>401</v>
      </c>
      <c r="E365" s="21" t="s">
        <v>475</v>
      </c>
      <c r="F365" s="21" t="s">
        <v>1025</v>
      </c>
      <c r="G365" s="21" t="s">
        <v>1097</v>
      </c>
      <c r="H365" s="23" t="s">
        <v>32</v>
      </c>
    </row>
    <row r="366" spans="1:8" x14ac:dyDescent="0.25">
      <c r="A366" s="20" t="s">
        <v>993</v>
      </c>
      <c r="B366" s="17" t="s">
        <v>1080</v>
      </c>
      <c r="D366" s="21" t="s">
        <v>401</v>
      </c>
      <c r="E366" s="21" t="s">
        <v>475</v>
      </c>
      <c r="F366" s="21" t="s">
        <v>1025</v>
      </c>
      <c r="G366" s="21" t="s">
        <v>1097</v>
      </c>
      <c r="H366" s="23" t="s">
        <v>32</v>
      </c>
    </row>
    <row r="367" spans="1:8" x14ac:dyDescent="0.25">
      <c r="A367" s="20" t="s">
        <v>994</v>
      </c>
      <c r="B367" s="17" t="s">
        <v>1081</v>
      </c>
      <c r="D367" s="21" t="s">
        <v>401</v>
      </c>
      <c r="E367" s="21" t="s">
        <v>475</v>
      </c>
      <c r="F367" s="21" t="s">
        <v>1025</v>
      </c>
      <c r="G367" s="21" t="s">
        <v>1097</v>
      </c>
      <c r="H367" s="23" t="s">
        <v>32</v>
      </c>
    </row>
    <row r="368" spans="1:8" x14ac:dyDescent="0.25">
      <c r="A368" s="20" t="s">
        <v>995</v>
      </c>
      <c r="B368" s="17" t="s">
        <v>680</v>
      </c>
      <c r="D368" s="21" t="s">
        <v>401</v>
      </c>
      <c r="E368" s="21" t="s">
        <v>475</v>
      </c>
      <c r="F368" s="21" t="s">
        <v>1025</v>
      </c>
      <c r="G368" s="21" t="s">
        <v>1097</v>
      </c>
      <c r="H368" s="23" t="s">
        <v>32</v>
      </c>
    </row>
    <row r="369" spans="1:8" x14ac:dyDescent="0.25">
      <c r="A369" s="20" t="s">
        <v>996</v>
      </c>
      <c r="B369" s="17" t="s">
        <v>780</v>
      </c>
      <c r="D369" s="21" t="s">
        <v>401</v>
      </c>
      <c r="E369" s="21" t="s">
        <v>475</v>
      </c>
      <c r="F369" s="21" t="s">
        <v>1025</v>
      </c>
      <c r="G369" s="21" t="s">
        <v>1098</v>
      </c>
      <c r="H369" s="23" t="s">
        <v>32</v>
      </c>
    </row>
    <row r="370" spans="1:8" x14ac:dyDescent="0.25">
      <c r="A370" s="20" t="s">
        <v>997</v>
      </c>
      <c r="B370" s="17" t="s">
        <v>1082</v>
      </c>
      <c r="D370" s="21" t="s">
        <v>401</v>
      </c>
      <c r="E370" s="21" t="s">
        <v>475</v>
      </c>
      <c r="F370" s="21" t="s">
        <v>1025</v>
      </c>
      <c r="G370" s="21" t="s">
        <v>1098</v>
      </c>
      <c r="H370" s="23" t="s">
        <v>32</v>
      </c>
    </row>
    <row r="371" spans="1:8" x14ac:dyDescent="0.25">
      <c r="A371" s="20" t="s">
        <v>998</v>
      </c>
      <c r="B371" s="17" t="s">
        <v>682</v>
      </c>
      <c r="D371" s="21" t="s">
        <v>401</v>
      </c>
      <c r="E371" s="21" t="s">
        <v>475</v>
      </c>
      <c r="F371" s="21" t="s">
        <v>1025</v>
      </c>
      <c r="G371" s="21" t="s">
        <v>1097</v>
      </c>
      <c r="H371" s="23" t="s">
        <v>32</v>
      </c>
    </row>
    <row r="372" spans="1:8" x14ac:dyDescent="0.25">
      <c r="A372" s="20" t="s">
        <v>999</v>
      </c>
      <c r="B372" s="17" t="s">
        <v>1083</v>
      </c>
      <c r="D372" s="21" t="s">
        <v>401</v>
      </c>
      <c r="E372" s="21" t="s">
        <v>475</v>
      </c>
      <c r="F372" s="21" t="s">
        <v>1025</v>
      </c>
      <c r="G372" s="21" t="s">
        <v>1097</v>
      </c>
      <c r="H372" s="23" t="s">
        <v>32</v>
      </c>
    </row>
    <row r="373" spans="1:8" x14ac:dyDescent="0.25">
      <c r="A373" s="20" t="s">
        <v>602</v>
      </c>
      <c r="B373" s="17" t="s">
        <v>603</v>
      </c>
      <c r="D373" s="21" t="s">
        <v>401</v>
      </c>
      <c r="E373" s="21" t="s">
        <v>475</v>
      </c>
      <c r="F373" s="21" t="s">
        <v>1025</v>
      </c>
      <c r="G373" s="21" t="s">
        <v>1097</v>
      </c>
      <c r="H373" s="23" t="s">
        <v>32</v>
      </c>
    </row>
    <row r="374" spans="1:8" x14ac:dyDescent="0.25">
      <c r="A374" s="20" t="s">
        <v>1000</v>
      </c>
      <c r="B374" s="17" t="s">
        <v>1084</v>
      </c>
      <c r="D374" s="21" t="s">
        <v>401</v>
      </c>
      <c r="E374" s="21" t="s">
        <v>475</v>
      </c>
      <c r="F374" s="21" t="s">
        <v>1025</v>
      </c>
      <c r="G374" s="21" t="s">
        <v>1098</v>
      </c>
      <c r="H374" s="23" t="s">
        <v>32</v>
      </c>
    </row>
    <row r="375" spans="1:8" x14ac:dyDescent="0.25">
      <c r="A375" s="20" t="s">
        <v>610</v>
      </c>
      <c r="B375" s="17" t="s">
        <v>784</v>
      </c>
      <c r="D375" s="21" t="s">
        <v>401</v>
      </c>
      <c r="E375" s="21" t="s">
        <v>475</v>
      </c>
      <c r="F375" s="21" t="s">
        <v>1025</v>
      </c>
      <c r="G375" s="21" t="s">
        <v>548</v>
      </c>
      <c r="H375" s="23" t="s">
        <v>32</v>
      </c>
    </row>
    <row r="376" spans="1:8" x14ac:dyDescent="0.25">
      <c r="A376" s="20" t="s">
        <v>1001</v>
      </c>
      <c r="B376" s="17" t="s">
        <v>1085</v>
      </c>
      <c r="D376" s="21" t="s">
        <v>401</v>
      </c>
      <c r="E376" s="21" t="s">
        <v>475</v>
      </c>
      <c r="F376" s="21" t="s">
        <v>1025</v>
      </c>
      <c r="G376" s="21" t="s">
        <v>802</v>
      </c>
      <c r="H376" s="23" t="s">
        <v>1009</v>
      </c>
    </row>
    <row r="377" spans="1:8" x14ac:dyDescent="0.25">
      <c r="A377" s="20" t="s">
        <v>665</v>
      </c>
      <c r="B377" s="17" t="s">
        <v>779</v>
      </c>
      <c r="D377" s="21" t="s">
        <v>401</v>
      </c>
      <c r="E377" s="21" t="s">
        <v>475</v>
      </c>
      <c r="F377" s="21" t="s">
        <v>1025</v>
      </c>
      <c r="G377" s="21" t="s">
        <v>1097</v>
      </c>
      <c r="H377" s="23" t="s">
        <v>32</v>
      </c>
    </row>
    <row r="378" spans="1:8" x14ac:dyDescent="0.25">
      <c r="A378" s="20" t="s">
        <v>1002</v>
      </c>
      <c r="B378" s="17" t="s">
        <v>1086</v>
      </c>
      <c r="D378" s="21" t="s">
        <v>401</v>
      </c>
      <c r="E378" s="21" t="s">
        <v>475</v>
      </c>
      <c r="F378" s="21" t="s">
        <v>1025</v>
      </c>
      <c r="G378" s="21" t="s">
        <v>1097</v>
      </c>
      <c r="H378" s="23" t="s">
        <v>32</v>
      </c>
    </row>
    <row r="379" spans="1:8" x14ac:dyDescent="0.25">
      <c r="A379" s="20" t="s">
        <v>1094</v>
      </c>
      <c r="B379" s="17" t="s">
        <v>1087</v>
      </c>
      <c r="D379" s="21" t="s">
        <v>401</v>
      </c>
      <c r="E379" s="21" t="s">
        <v>475</v>
      </c>
      <c r="F379" s="21" t="s">
        <v>1025</v>
      </c>
      <c r="G379" s="21" t="s">
        <v>1097</v>
      </c>
      <c r="H379" s="23" t="s">
        <v>32</v>
      </c>
    </row>
    <row r="380" spans="1:8" x14ac:dyDescent="0.25">
      <c r="A380" s="20" t="s">
        <v>1003</v>
      </c>
      <c r="B380" s="17" t="s">
        <v>1088</v>
      </c>
      <c r="D380" s="21" t="s">
        <v>401</v>
      </c>
      <c r="E380" s="21" t="s">
        <v>475</v>
      </c>
      <c r="F380" s="21" t="s">
        <v>1025</v>
      </c>
      <c r="G380" s="21" t="s">
        <v>1097</v>
      </c>
      <c r="H380" s="23" t="s">
        <v>32</v>
      </c>
    </row>
    <row r="381" spans="1:8" x14ac:dyDescent="0.25">
      <c r="A381" s="20" t="s">
        <v>481</v>
      </c>
      <c r="B381" s="17" t="s">
        <v>461</v>
      </c>
      <c r="C381" s="21" t="s">
        <v>1023</v>
      </c>
      <c r="D381" s="21" t="s">
        <v>401</v>
      </c>
      <c r="E381" s="21" t="s">
        <v>482</v>
      </c>
      <c r="F381" s="21" t="s">
        <v>1026</v>
      </c>
      <c r="G381" s="21" t="s">
        <v>34</v>
      </c>
      <c r="H381" s="23" t="s">
        <v>43</v>
      </c>
    </row>
    <row r="382" spans="1:8" x14ac:dyDescent="0.25">
      <c r="A382" s="20" t="s">
        <v>1004</v>
      </c>
      <c r="B382" s="17" t="s">
        <v>484</v>
      </c>
      <c r="C382" s="21" t="s">
        <v>37</v>
      </c>
      <c r="D382" s="21" t="s">
        <v>401</v>
      </c>
      <c r="E382" s="21" t="s">
        <v>483</v>
      </c>
      <c r="F382" s="21" t="s">
        <v>1026</v>
      </c>
      <c r="G382" s="21" t="s">
        <v>34</v>
      </c>
      <c r="H382" s="23" t="s">
        <v>32</v>
      </c>
    </row>
    <row r="383" spans="1:8" x14ac:dyDescent="0.25">
      <c r="A383" s="20" t="s">
        <v>485</v>
      </c>
      <c r="B383" s="17" t="s">
        <v>486</v>
      </c>
      <c r="C383" s="21" t="s">
        <v>37</v>
      </c>
      <c r="D383" s="21" t="s">
        <v>401</v>
      </c>
      <c r="E383" s="21" t="s">
        <v>487</v>
      </c>
      <c r="F383" s="21" t="s">
        <v>1026</v>
      </c>
      <c r="G383" s="21" t="s">
        <v>34</v>
      </c>
      <c r="H383" s="23" t="s">
        <v>43</v>
      </c>
    </row>
    <row r="384" spans="1:8" x14ac:dyDescent="0.25">
      <c r="A384" s="20" t="s">
        <v>1005</v>
      </c>
      <c r="B384" s="17" t="s">
        <v>490</v>
      </c>
      <c r="C384" s="21" t="s">
        <v>37</v>
      </c>
      <c r="D384" s="21" t="s">
        <v>488</v>
      </c>
      <c r="E384" s="21" t="s">
        <v>489</v>
      </c>
      <c r="F384" s="21" t="s">
        <v>801</v>
      </c>
      <c r="G384" s="21" t="s">
        <v>34</v>
      </c>
      <c r="H384" s="23" t="s">
        <v>32</v>
      </c>
    </row>
    <row r="385" spans="1:8" x14ac:dyDescent="0.25">
      <c r="A385" s="20" t="s">
        <v>1006</v>
      </c>
      <c r="B385" s="17" t="s">
        <v>1059</v>
      </c>
      <c r="C385" s="21" t="s">
        <v>37</v>
      </c>
      <c r="D385" s="21" t="s">
        <v>488</v>
      </c>
      <c r="E385" s="21" t="s">
        <v>1022</v>
      </c>
      <c r="F385" s="21" t="s">
        <v>801</v>
      </c>
      <c r="G385" s="21" t="s">
        <v>34</v>
      </c>
      <c r="H385" s="23" t="s">
        <v>32</v>
      </c>
    </row>
    <row r="386" spans="1:8" x14ac:dyDescent="0.25">
      <c r="A386" s="20" t="s">
        <v>1007</v>
      </c>
      <c r="B386" s="17" t="s">
        <v>1060</v>
      </c>
      <c r="C386" s="21" t="s">
        <v>37</v>
      </c>
      <c r="D386" s="21" t="s">
        <v>488</v>
      </c>
      <c r="E386" s="21" t="s">
        <v>491</v>
      </c>
      <c r="F386" s="21" t="s">
        <v>801</v>
      </c>
      <c r="G386" s="21" t="s">
        <v>34</v>
      </c>
      <c r="H386" s="23" t="s">
        <v>32</v>
      </c>
    </row>
    <row r="387" spans="1:8" x14ac:dyDescent="0.25">
      <c r="A387" s="20" t="s">
        <v>1008</v>
      </c>
      <c r="B387" s="17" t="s">
        <v>492</v>
      </c>
      <c r="C387" s="21" t="s">
        <v>37</v>
      </c>
      <c r="D387" s="21" t="s">
        <v>488</v>
      </c>
      <c r="E387" s="21" t="s">
        <v>491</v>
      </c>
      <c r="F387" s="21" t="s">
        <v>801</v>
      </c>
      <c r="G387" s="21" t="s">
        <v>34</v>
      </c>
      <c r="H387" s="23" t="s">
        <v>43</v>
      </c>
    </row>
    <row r="388" spans="1:8" x14ac:dyDescent="0.25">
      <c r="A388" s="20" t="s">
        <v>1100</v>
      </c>
      <c r="B388" s="17" t="s">
        <v>1099</v>
      </c>
      <c r="C388" s="21" t="s">
        <v>37</v>
      </c>
      <c r="D388" s="21" t="s">
        <v>56</v>
      </c>
      <c r="E388" s="21" t="s">
        <v>70</v>
      </c>
      <c r="F388" s="21" t="s">
        <v>1024</v>
      </c>
      <c r="G388" s="21" t="s">
        <v>34</v>
      </c>
      <c r="H388" s="21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  <pageSetUpPr fitToPage="1"/>
  </sheetPr>
  <dimension ref="A1:Y100"/>
  <sheetViews>
    <sheetView showGridLines="0" tabSelected="1" zoomScaleNormal="100" workbookViewId="0">
      <selection activeCell="N54" sqref="N54"/>
    </sheetView>
  </sheetViews>
  <sheetFormatPr defaultColWidth="0" defaultRowHeight="15" customHeight="1" zeroHeight="1" x14ac:dyDescent="0.25"/>
  <cols>
    <col min="1" max="1" width="9.140625" style="8" customWidth="1"/>
    <col min="2" max="4" width="8.5703125" style="8" customWidth="1"/>
    <col min="5" max="5" width="9.140625" style="8" customWidth="1"/>
    <col min="6" max="6" width="0.85546875" style="8" customWidth="1"/>
    <col min="7" max="7" width="12.140625" style="8" customWidth="1"/>
    <col min="8" max="10" width="8.5703125" style="8" customWidth="1"/>
    <col min="11" max="11" width="0.7109375" style="8" customWidth="1"/>
    <col min="12" max="12" width="9.140625" style="8" customWidth="1"/>
    <col min="13" max="15" width="8.5703125" style="8" customWidth="1"/>
    <col min="16" max="16" width="9.140625" style="8" customWidth="1"/>
    <col min="17" max="21" width="9.140625" style="8" hidden="1" customWidth="1"/>
    <col min="22" max="25" width="0" style="8" hidden="1" customWidth="1"/>
    <col min="26" max="16384" width="9.140625" style="8" hidden="1"/>
  </cols>
  <sheetData>
    <row r="1" spans="1:16" s="57" customFormat="1" ht="15.75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57" customFormat="1" ht="15.75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6" s="57" customFormat="1" ht="15.7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6" s="57" customFormat="1" ht="15.75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s="57" customFormat="1" ht="15.75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s="57" customFormat="1" ht="10.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6" s="57" customFormat="1" ht="15" customHeight="1" x14ac:dyDescent="0.25">
      <c r="A7" s="26"/>
      <c r="B7" s="72" t="s">
        <v>1119</v>
      </c>
      <c r="C7" s="72"/>
      <c r="D7" s="72"/>
      <c r="E7" s="26"/>
      <c r="F7" s="26"/>
      <c r="G7" s="26"/>
      <c r="H7" s="26"/>
      <c r="I7" s="26"/>
      <c r="J7" s="26"/>
      <c r="K7" s="26"/>
      <c r="L7" s="26"/>
      <c r="M7" s="27"/>
      <c r="N7" s="27"/>
      <c r="O7" s="27"/>
    </row>
    <row r="8" spans="1:16" s="57" customFormat="1" ht="15" customHeight="1" x14ac:dyDescent="0.25">
      <c r="A8" s="26"/>
      <c r="B8" s="52"/>
      <c r="C8" s="52"/>
      <c r="D8" s="52"/>
      <c r="E8" s="26"/>
      <c r="F8" s="26"/>
      <c r="G8" s="26"/>
      <c r="H8" s="26"/>
      <c r="I8" s="26"/>
      <c r="J8" s="26"/>
      <c r="K8" s="26"/>
      <c r="L8" s="26"/>
      <c r="M8" s="27"/>
      <c r="N8" s="27"/>
      <c r="O8" s="27"/>
    </row>
    <row r="9" spans="1:16" s="57" customFormat="1" ht="15" customHeight="1" x14ac:dyDescent="0.25">
      <c r="A9" s="26"/>
      <c r="B9" s="28" t="s">
        <v>1120</v>
      </c>
      <c r="C9" s="29"/>
      <c r="D9" s="26"/>
      <c r="H9" s="30" t="s">
        <v>1121</v>
      </c>
      <c r="I9" s="26"/>
      <c r="J9" s="26"/>
      <c r="K9" s="30"/>
      <c r="L9" s="27"/>
      <c r="M9" s="29"/>
      <c r="N9" s="30"/>
      <c r="O9" s="27"/>
      <c r="P9" s="58"/>
    </row>
    <row r="10" spans="1:16" s="57" customFormat="1" ht="15.75" x14ac:dyDescent="0.25">
      <c r="A10" s="26"/>
      <c r="B10" s="73"/>
      <c r="C10" s="74"/>
      <c r="D10" s="26"/>
      <c r="H10" s="75"/>
      <c r="I10" s="76"/>
      <c r="J10" s="77"/>
      <c r="K10" s="32"/>
      <c r="L10" s="31"/>
      <c r="M10" s="78"/>
      <c r="N10" s="78"/>
      <c r="O10" s="78"/>
    </row>
    <row r="11" spans="1:16" s="57" customFormat="1" ht="15.75" x14ac:dyDescent="0.25">
      <c r="A11" s="26"/>
      <c r="B11" s="32"/>
      <c r="C11" s="32"/>
      <c r="D11" s="26"/>
      <c r="E11" s="32"/>
      <c r="F11" s="32"/>
      <c r="G11" s="32"/>
      <c r="H11" s="26"/>
      <c r="I11" s="32"/>
      <c r="J11" s="32"/>
      <c r="K11" s="32"/>
      <c r="L11" s="31"/>
      <c r="M11" s="53"/>
      <c r="N11" s="53"/>
      <c r="O11" s="53"/>
    </row>
    <row r="12" spans="1:16" s="57" customFormat="1" ht="6.75" customHeight="1" x14ac:dyDescent="0.25">
      <c r="A12" s="26"/>
      <c r="B12" s="33"/>
      <c r="C12" s="3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6" s="24" customFormat="1" ht="12.75" customHeight="1" x14ac:dyDescent="0.25">
      <c r="A13" s="25"/>
      <c r="B13" s="82" t="s">
        <v>1122</v>
      </c>
      <c r="C13" s="82"/>
      <c r="D13" s="82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6" s="24" customFormat="1" ht="13.5" customHeight="1" x14ac:dyDescent="0.25">
      <c r="A14" s="25"/>
      <c r="B14" s="34"/>
      <c r="C14" s="34"/>
      <c r="D14" s="3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6" s="57" customFormat="1" ht="15.75" x14ac:dyDescent="0.25">
      <c r="A15" s="26"/>
      <c r="B15" s="62" t="s">
        <v>1123</v>
      </c>
      <c r="C15" s="29"/>
      <c r="D15" s="26"/>
      <c r="E15" s="26"/>
      <c r="F15" s="26"/>
      <c r="G15" s="26"/>
      <c r="H15" s="26"/>
      <c r="I15" s="62" t="s">
        <v>1124</v>
      </c>
      <c r="J15" s="26"/>
      <c r="K15" s="29"/>
      <c r="L15" s="26"/>
      <c r="M15" s="26"/>
      <c r="N15" s="26"/>
      <c r="O15" s="26"/>
    </row>
    <row r="16" spans="1:16" s="57" customFormat="1" ht="15.75" x14ac:dyDescent="0.25">
      <c r="A16" s="26"/>
      <c r="B16" s="79"/>
      <c r="C16" s="80"/>
      <c r="D16" s="80"/>
      <c r="E16" s="81"/>
      <c r="F16" s="31"/>
      <c r="G16" s="33"/>
      <c r="H16" s="26"/>
      <c r="I16" s="35"/>
      <c r="J16" s="36"/>
      <c r="K16" s="36"/>
      <c r="L16" s="36"/>
      <c r="M16" s="37"/>
      <c r="N16" s="26"/>
      <c r="O16" s="26"/>
    </row>
    <row r="17" spans="1:23" s="57" customFormat="1" ht="15.75" x14ac:dyDescent="0.25">
      <c r="A17" s="26"/>
      <c r="B17" s="62" t="s">
        <v>1125</v>
      </c>
      <c r="C17" s="29"/>
      <c r="D17" s="26"/>
      <c r="E17" s="26"/>
      <c r="F17" s="30"/>
      <c r="G17" s="30"/>
      <c r="H17" s="27"/>
      <c r="I17" s="27"/>
      <c r="J17" s="27"/>
      <c r="K17" s="27"/>
      <c r="L17" s="27"/>
      <c r="M17" s="27"/>
      <c r="N17" s="26"/>
      <c r="O17" s="26"/>
      <c r="S17" s="59"/>
    </row>
    <row r="18" spans="1:23" s="57" customFormat="1" ht="15" customHeight="1" x14ac:dyDescent="0.25">
      <c r="A18" s="26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7"/>
      <c r="N18" s="26"/>
      <c r="O18" s="26"/>
    </row>
    <row r="19" spans="1:23" s="57" customFormat="1" ht="15" customHeight="1" x14ac:dyDescent="0.25">
      <c r="A19" s="26"/>
      <c r="B19" s="29" t="s">
        <v>1126</v>
      </c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/>
      <c r="O19" s="26"/>
    </row>
    <row r="20" spans="1:23" s="57" customFormat="1" ht="15" customHeight="1" x14ac:dyDescent="0.25">
      <c r="A20" s="26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7"/>
      <c r="N20" s="26"/>
      <c r="O20" s="26"/>
    </row>
    <row r="21" spans="1:23" s="57" customFormat="1" ht="15" customHeight="1" x14ac:dyDescent="0.25">
      <c r="A21" s="26"/>
      <c r="B21" s="29" t="s">
        <v>1127</v>
      </c>
      <c r="C21" s="29"/>
      <c r="D21" s="29"/>
      <c r="E21" s="29"/>
      <c r="F21" s="26"/>
      <c r="G21" s="26"/>
      <c r="H21" s="29" t="s">
        <v>1131</v>
      </c>
      <c r="I21" s="29"/>
      <c r="J21" s="26"/>
      <c r="K21" s="26"/>
      <c r="L21" s="29"/>
      <c r="M21" s="29"/>
      <c r="N21" s="26"/>
      <c r="O21" s="26"/>
    </row>
    <row r="22" spans="1:23" s="57" customFormat="1" ht="15" customHeight="1" x14ac:dyDescent="0.25">
      <c r="A22" s="26"/>
      <c r="B22" s="79"/>
      <c r="C22" s="80"/>
      <c r="D22" s="80"/>
      <c r="E22" s="80"/>
      <c r="F22" s="87"/>
      <c r="G22" s="53"/>
      <c r="H22" s="79"/>
      <c r="I22" s="80"/>
      <c r="J22" s="80"/>
      <c r="K22" s="80"/>
      <c r="L22" s="87"/>
      <c r="M22" s="26"/>
      <c r="N22" s="26"/>
      <c r="O22" s="26"/>
    </row>
    <row r="23" spans="1:23" s="57" customFormat="1" ht="15" customHeight="1" x14ac:dyDescent="0.25">
      <c r="A23" s="26"/>
      <c r="B23" s="29" t="s">
        <v>1128</v>
      </c>
      <c r="C23" s="29"/>
      <c r="D23" s="26"/>
      <c r="E23" s="26"/>
      <c r="F23" s="26"/>
      <c r="G23" s="26"/>
      <c r="H23" s="29" t="s">
        <v>1129</v>
      </c>
      <c r="I23" s="29"/>
      <c r="J23" s="26"/>
      <c r="K23" s="26"/>
      <c r="L23" s="26"/>
      <c r="M23" s="26"/>
      <c r="N23" s="26"/>
      <c r="O23" s="26"/>
    </row>
    <row r="24" spans="1:23" s="57" customFormat="1" ht="15" customHeight="1" x14ac:dyDescent="0.25">
      <c r="A24" s="26"/>
      <c r="B24" s="91"/>
      <c r="C24" s="92"/>
      <c r="D24" s="92"/>
      <c r="E24" s="92"/>
      <c r="F24" s="93"/>
      <c r="G24" s="38"/>
      <c r="H24" s="79"/>
      <c r="I24" s="80"/>
      <c r="J24" s="80"/>
      <c r="K24" s="80"/>
      <c r="L24" s="87"/>
      <c r="M24" s="26"/>
      <c r="N24" s="26"/>
      <c r="O24" s="26"/>
    </row>
    <row r="25" spans="1:23" s="57" customFormat="1" ht="11.25" customHeight="1" x14ac:dyDescent="0.25">
      <c r="A25" s="26"/>
      <c r="B25" s="38"/>
      <c r="C25" s="38"/>
      <c r="D25" s="38"/>
      <c r="E25" s="38"/>
      <c r="F25" s="38"/>
      <c r="G25" s="38"/>
      <c r="H25" s="53"/>
      <c r="I25" s="53"/>
      <c r="J25" s="53"/>
      <c r="K25" s="53"/>
      <c r="L25" s="53"/>
      <c r="M25" s="26"/>
      <c r="N25" s="26"/>
      <c r="O25" s="26"/>
    </row>
    <row r="26" spans="1:23" s="57" customFormat="1" ht="10.5" customHeight="1" x14ac:dyDescent="0.25">
      <c r="A26" s="26"/>
      <c r="B26" s="26"/>
      <c r="C26" s="26"/>
      <c r="D26" s="26"/>
      <c r="E26" s="26"/>
      <c r="F26" s="26"/>
      <c r="G26" s="26"/>
      <c r="H26" s="26"/>
      <c r="I26" s="39"/>
      <c r="J26" s="39"/>
      <c r="K26" s="39"/>
      <c r="L26" s="39"/>
      <c r="M26" s="39"/>
      <c r="N26" s="39"/>
      <c r="O26" s="39"/>
      <c r="W26" s="59"/>
    </row>
    <row r="27" spans="1:23" s="57" customFormat="1" ht="3.75" hidden="1" customHeight="1" x14ac:dyDescent="0.25">
      <c r="A27" s="26"/>
      <c r="B27" s="26"/>
      <c r="C27" s="26"/>
      <c r="D27" s="26"/>
      <c r="E27" s="26"/>
      <c r="F27" s="26"/>
      <c r="G27" s="26"/>
      <c r="H27" s="26"/>
      <c r="I27" s="39"/>
      <c r="J27" s="39"/>
      <c r="K27" s="39"/>
      <c r="L27" s="39"/>
      <c r="M27" s="39"/>
      <c r="N27" s="39"/>
      <c r="O27" s="39"/>
      <c r="W27" s="59"/>
    </row>
    <row r="28" spans="1:23" s="57" customFormat="1" ht="15.75" x14ac:dyDescent="0.25">
      <c r="A28" s="26"/>
      <c r="B28" s="71" t="s">
        <v>1130</v>
      </c>
      <c r="C28" s="71"/>
      <c r="D28" s="71"/>
      <c r="E28" s="26"/>
      <c r="F28" s="26"/>
      <c r="G28" s="26"/>
      <c r="H28" s="26"/>
      <c r="I28" s="39"/>
      <c r="J28" s="39"/>
      <c r="K28" s="39"/>
      <c r="L28" s="39"/>
      <c r="M28" s="39"/>
      <c r="N28" s="39"/>
      <c r="O28" s="39"/>
    </row>
    <row r="29" spans="1:23" s="57" customFormat="1" ht="15.75" x14ac:dyDescent="0.25">
      <c r="A29" s="26"/>
      <c r="B29" s="40"/>
      <c r="C29" s="40"/>
      <c r="D29" s="40"/>
      <c r="E29" s="26"/>
      <c r="F29" s="26"/>
      <c r="G29" s="26"/>
      <c r="H29" s="26"/>
      <c r="I29" s="39"/>
      <c r="J29" s="39"/>
      <c r="K29" s="39"/>
      <c r="L29" s="39"/>
      <c r="M29" s="39"/>
      <c r="N29" s="39"/>
      <c r="O29" s="39"/>
    </row>
    <row r="30" spans="1:23" s="57" customFormat="1" ht="15.75" x14ac:dyDescent="0.25">
      <c r="A30" s="26"/>
      <c r="W30" s="59"/>
    </row>
    <row r="31" spans="1:23" s="57" customFormat="1" ht="15.75" x14ac:dyDescent="0.25">
      <c r="A31" s="26"/>
    </row>
    <row r="32" spans="1:23" s="57" customFormat="1" ht="15.75" x14ac:dyDescent="0.25">
      <c r="A32" s="26"/>
    </row>
    <row r="33" spans="1:15" s="57" customFormat="1" ht="15.75" x14ac:dyDescent="0.25">
      <c r="A33" s="26"/>
    </row>
    <row r="34" spans="1:15" s="60" customFormat="1" ht="15.75" x14ac:dyDescent="0.25">
      <c r="A34" s="27"/>
      <c r="B34" s="83" t="s">
        <v>1131</v>
      </c>
      <c r="C34" s="83"/>
      <c r="D34" s="83"/>
      <c r="E34" s="83"/>
      <c r="F34" s="61"/>
      <c r="G34" s="83" t="s">
        <v>1129</v>
      </c>
      <c r="H34" s="83"/>
      <c r="I34" s="83"/>
      <c r="J34" s="83"/>
      <c r="K34" s="26"/>
      <c r="L34" s="83" t="s">
        <v>1132</v>
      </c>
      <c r="M34" s="83"/>
      <c r="N34" s="83"/>
      <c r="O34" s="83"/>
    </row>
    <row r="35" spans="1:15" s="60" customFormat="1" ht="15.75" x14ac:dyDescent="0.25">
      <c r="A35" s="27"/>
      <c r="B35" s="88"/>
      <c r="C35" s="89"/>
      <c r="D35" s="89"/>
      <c r="E35" s="90"/>
      <c r="F35" s="53"/>
      <c r="G35" s="88"/>
      <c r="H35" s="89"/>
      <c r="I35" s="89"/>
      <c r="J35" s="90"/>
      <c r="K35" s="26"/>
      <c r="L35" s="88"/>
      <c r="M35" s="89"/>
      <c r="N35" s="89"/>
      <c r="O35" s="90"/>
    </row>
    <row r="36" spans="1:15" s="60" customFormat="1" ht="15.75" x14ac:dyDescent="0.25">
      <c r="A36" s="27"/>
      <c r="B36" s="41"/>
      <c r="C36" s="30"/>
      <c r="D36" s="27"/>
      <c r="E36" s="42"/>
      <c r="F36" s="27"/>
      <c r="G36" s="41"/>
      <c r="H36" s="30"/>
      <c r="I36" s="27"/>
      <c r="J36" s="42"/>
      <c r="K36" s="26"/>
      <c r="L36" s="41"/>
      <c r="M36" s="30"/>
      <c r="N36" s="27"/>
      <c r="O36" s="42"/>
    </row>
    <row r="37" spans="1:15" s="60" customFormat="1" ht="15.75" x14ac:dyDescent="0.25">
      <c r="A37" s="27"/>
      <c r="B37" s="41"/>
      <c r="C37" s="30"/>
      <c r="D37" s="27"/>
      <c r="E37" s="42"/>
      <c r="F37" s="27"/>
      <c r="G37" s="41"/>
      <c r="H37" s="30"/>
      <c r="I37" s="27"/>
      <c r="J37" s="42"/>
      <c r="K37" s="26"/>
      <c r="L37" s="41"/>
      <c r="M37" s="30"/>
      <c r="N37" s="27"/>
      <c r="O37" s="42"/>
    </row>
    <row r="38" spans="1:15" s="60" customFormat="1" ht="15.75" x14ac:dyDescent="0.25">
      <c r="A38" s="27"/>
      <c r="B38" s="41"/>
      <c r="C38" s="30"/>
      <c r="D38" s="27"/>
      <c r="E38" s="42"/>
      <c r="F38" s="27"/>
      <c r="G38" s="41"/>
      <c r="H38" s="30"/>
      <c r="I38" s="27"/>
      <c r="J38" s="42"/>
      <c r="K38" s="27"/>
      <c r="L38" s="41"/>
      <c r="M38" s="30"/>
      <c r="N38" s="27"/>
      <c r="O38" s="42"/>
    </row>
    <row r="39" spans="1:15" s="60" customFormat="1" ht="15.75" x14ac:dyDescent="0.25">
      <c r="A39" s="27"/>
      <c r="B39" s="41"/>
      <c r="C39" s="30"/>
      <c r="D39" s="27"/>
      <c r="E39" s="42"/>
      <c r="F39" s="27"/>
      <c r="G39" s="41"/>
      <c r="H39" s="30"/>
      <c r="I39" s="27"/>
      <c r="J39" s="42"/>
      <c r="K39" s="27"/>
      <c r="L39" s="41"/>
      <c r="M39" s="30"/>
      <c r="N39" s="27"/>
      <c r="O39" s="42"/>
    </row>
    <row r="40" spans="1:15" s="60" customFormat="1" ht="15.75" x14ac:dyDescent="0.25">
      <c r="A40" s="27"/>
      <c r="B40" s="43"/>
      <c r="C40" s="27"/>
      <c r="D40" s="27"/>
      <c r="E40" s="42"/>
      <c r="F40" s="27"/>
      <c r="G40" s="43"/>
      <c r="H40" s="27"/>
      <c r="I40" s="27"/>
      <c r="J40" s="42"/>
      <c r="K40" s="27"/>
      <c r="L40" s="43"/>
      <c r="M40" s="27"/>
      <c r="N40" s="27"/>
      <c r="O40" s="42"/>
    </row>
    <row r="41" spans="1:15" s="60" customFormat="1" ht="20.25" customHeight="1" x14ac:dyDescent="0.25">
      <c r="A41" s="27"/>
      <c r="B41" s="44"/>
      <c r="C41" s="40"/>
      <c r="D41" s="40"/>
      <c r="E41" s="42"/>
      <c r="F41" s="27"/>
      <c r="G41" s="44"/>
      <c r="H41" s="40"/>
      <c r="I41" s="40"/>
      <c r="J41" s="42"/>
      <c r="K41" s="27"/>
      <c r="L41" s="44"/>
      <c r="M41" s="40"/>
      <c r="N41" s="40"/>
      <c r="O41" s="42"/>
    </row>
    <row r="42" spans="1:15" s="60" customFormat="1" ht="29.25" customHeight="1" x14ac:dyDescent="0.25">
      <c r="A42" s="27"/>
      <c r="B42" s="41"/>
      <c r="C42" s="30"/>
      <c r="D42" s="27"/>
      <c r="E42" s="42"/>
      <c r="F42" s="27"/>
      <c r="G42" s="41"/>
      <c r="H42" s="30"/>
      <c r="I42" s="27"/>
      <c r="J42" s="42"/>
      <c r="K42" s="27"/>
      <c r="L42" s="41"/>
      <c r="M42" s="30"/>
      <c r="N42" s="27"/>
      <c r="O42" s="42"/>
    </row>
    <row r="43" spans="1:15" s="60" customFormat="1" ht="22.5" customHeight="1" x14ac:dyDescent="0.25">
      <c r="A43" s="27"/>
      <c r="B43" s="45"/>
      <c r="C43" s="46"/>
      <c r="D43" s="46"/>
      <c r="E43" s="47"/>
      <c r="F43" s="46"/>
      <c r="G43" s="45"/>
      <c r="H43" s="46"/>
      <c r="I43" s="46"/>
      <c r="J43" s="47"/>
      <c r="K43" s="46"/>
      <c r="L43" s="45"/>
      <c r="M43" s="46"/>
      <c r="N43" s="46"/>
      <c r="O43" s="47"/>
    </row>
    <row r="44" spans="1:15" s="60" customFormat="1" ht="15.75" x14ac:dyDescent="0.25">
      <c r="A44" s="27"/>
      <c r="B44" s="48"/>
      <c r="C44" s="49"/>
      <c r="D44" s="50"/>
      <c r="E44" s="51"/>
      <c r="F44" s="27"/>
      <c r="G44" s="48"/>
      <c r="H44" s="49"/>
      <c r="I44" s="50"/>
      <c r="J44" s="51"/>
      <c r="K44" s="27"/>
      <c r="L44" s="48"/>
      <c r="M44" s="49"/>
      <c r="N44" s="50"/>
      <c r="O44" s="51"/>
    </row>
    <row r="45" spans="1:15" s="60" customFormat="1" ht="15.75" x14ac:dyDescent="0.25">
      <c r="A45" s="27"/>
      <c r="B45" s="30"/>
      <c r="C45" s="30"/>
      <c r="D45" s="27"/>
      <c r="E45" s="27"/>
      <c r="F45" s="46"/>
      <c r="G45" s="30"/>
      <c r="H45" s="30"/>
      <c r="I45" s="27"/>
      <c r="J45" s="27"/>
      <c r="K45" s="46"/>
      <c r="L45" s="30"/>
      <c r="M45" s="30"/>
      <c r="N45" s="27"/>
      <c r="O45" s="27"/>
    </row>
    <row r="46" spans="1:15" s="60" customFormat="1" ht="15.75" x14ac:dyDescent="0.25">
      <c r="A46" s="27"/>
      <c r="B46" s="30"/>
      <c r="C46" s="30"/>
      <c r="D46" s="27"/>
      <c r="E46" s="27"/>
      <c r="F46" s="27"/>
      <c r="G46" s="30"/>
      <c r="H46" s="30"/>
      <c r="I46" s="27"/>
      <c r="J46" s="27"/>
      <c r="K46" s="27"/>
      <c r="L46" s="30"/>
      <c r="M46" s="30"/>
      <c r="N46" s="27"/>
      <c r="O46" s="27"/>
    </row>
    <row r="47" spans="1:15" s="60" customFormat="1" ht="15.75" x14ac:dyDescent="0.25">
      <c r="A47" s="27"/>
      <c r="B47" s="30"/>
      <c r="C47" s="30"/>
      <c r="D47" s="27"/>
      <c r="E47" s="27"/>
      <c r="F47" s="27"/>
      <c r="G47" s="30"/>
      <c r="H47" s="30"/>
      <c r="I47" s="27"/>
      <c r="J47" s="27"/>
      <c r="K47" s="27"/>
      <c r="L47" s="30"/>
      <c r="M47" s="30"/>
      <c r="N47" s="27"/>
      <c r="O47" s="27"/>
    </row>
    <row r="48" spans="1:15" s="60" customFormat="1" ht="15.75" x14ac:dyDescent="0.25">
      <c r="A48" s="27"/>
      <c r="B48" s="27"/>
      <c r="C48" s="27"/>
      <c r="D48" s="27"/>
      <c r="E48" s="27"/>
      <c r="F48" s="46"/>
      <c r="G48" s="27"/>
      <c r="H48" s="27"/>
      <c r="I48" s="27"/>
      <c r="J48" s="27"/>
      <c r="K48" s="46"/>
      <c r="L48" s="27"/>
      <c r="M48" s="27"/>
      <c r="N48" s="27"/>
      <c r="O48" s="27"/>
    </row>
    <row r="49" spans="1:15" s="60" customFormat="1" ht="14.25" customHeight="1" x14ac:dyDescent="0.25">
      <c r="A49" s="27"/>
      <c r="B49" s="40"/>
      <c r="C49" s="40"/>
      <c r="D49" s="40"/>
      <c r="E49" s="27"/>
      <c r="F49" s="46"/>
      <c r="G49" s="40"/>
      <c r="H49" s="40"/>
      <c r="I49" s="40"/>
      <c r="J49" s="27"/>
      <c r="K49" s="46"/>
      <c r="L49" s="84" t="s">
        <v>1135</v>
      </c>
      <c r="M49" s="84"/>
      <c r="N49" s="84"/>
      <c r="O49" s="84"/>
    </row>
    <row r="50" spans="1:15" s="60" customFormat="1" ht="18" customHeight="1" x14ac:dyDescent="0.25">
      <c r="A50" s="27"/>
      <c r="B50" s="83" t="s">
        <v>1133</v>
      </c>
      <c r="C50" s="83"/>
      <c r="D50" s="83"/>
      <c r="E50" s="83"/>
      <c r="F50" s="46"/>
      <c r="G50" s="83" t="s">
        <v>1134</v>
      </c>
      <c r="H50" s="83"/>
      <c r="I50" s="83"/>
      <c r="J50" s="83"/>
      <c r="K50" s="46"/>
      <c r="L50" s="85"/>
      <c r="M50" s="85"/>
      <c r="N50" s="85"/>
      <c r="O50" s="85"/>
    </row>
    <row r="51" spans="1:15" s="60" customFormat="1" ht="15.75" x14ac:dyDescent="0.25">
      <c r="A51" s="27"/>
      <c r="B51" s="54"/>
      <c r="C51" s="55"/>
      <c r="D51" s="55"/>
      <c r="E51" s="56"/>
      <c r="F51" s="46"/>
      <c r="G51" s="54"/>
      <c r="H51" s="55"/>
      <c r="I51" s="55"/>
      <c r="J51" s="56"/>
      <c r="K51" s="46"/>
      <c r="L51" s="54"/>
      <c r="M51" s="55"/>
      <c r="N51" s="55"/>
      <c r="O51" s="56"/>
    </row>
    <row r="52" spans="1:15" s="60" customFormat="1" ht="15.75" x14ac:dyDescent="0.25">
      <c r="A52" s="27"/>
      <c r="B52" s="41"/>
      <c r="C52" s="30"/>
      <c r="D52" s="27"/>
      <c r="E52" s="42"/>
      <c r="F52" s="46"/>
      <c r="G52" s="41"/>
      <c r="H52" s="30"/>
      <c r="I52" s="27"/>
      <c r="J52" s="42"/>
      <c r="K52" s="46"/>
      <c r="L52" s="41"/>
      <c r="M52" s="30"/>
      <c r="N52" s="27"/>
      <c r="O52" s="42"/>
    </row>
    <row r="53" spans="1:15" s="60" customFormat="1" ht="15.75" customHeight="1" x14ac:dyDescent="0.25">
      <c r="A53" s="27"/>
      <c r="B53" s="41"/>
      <c r="C53" s="30"/>
      <c r="D53" s="27"/>
      <c r="E53" s="42"/>
      <c r="F53" s="46"/>
      <c r="G53" s="41"/>
      <c r="H53" s="30"/>
      <c r="I53" s="27"/>
      <c r="J53" s="42"/>
      <c r="K53" s="46"/>
      <c r="L53" s="41"/>
      <c r="M53" s="30"/>
      <c r="N53" s="27"/>
      <c r="O53" s="42"/>
    </row>
    <row r="54" spans="1:15" s="60" customFormat="1" ht="31.5" customHeight="1" x14ac:dyDescent="0.25">
      <c r="A54" s="27"/>
      <c r="B54" s="41"/>
      <c r="C54" s="30"/>
      <c r="D54" s="27"/>
      <c r="E54" s="42"/>
      <c r="F54" s="46"/>
      <c r="G54" s="41"/>
      <c r="H54" s="30"/>
      <c r="I54" s="27"/>
      <c r="J54" s="42"/>
      <c r="K54" s="46"/>
      <c r="L54" s="41"/>
      <c r="M54" s="30"/>
      <c r="N54" s="27"/>
      <c r="O54" s="42"/>
    </row>
    <row r="55" spans="1:15" s="60" customFormat="1" ht="15.75" x14ac:dyDescent="0.25">
      <c r="A55" s="27"/>
      <c r="B55" s="41"/>
      <c r="C55" s="30"/>
      <c r="D55" s="27"/>
      <c r="E55" s="42"/>
      <c r="F55" s="46"/>
      <c r="G55" s="41"/>
      <c r="H55" s="30"/>
      <c r="I55" s="27"/>
      <c r="J55" s="42"/>
      <c r="K55" s="46"/>
      <c r="L55" s="41"/>
      <c r="M55" s="30"/>
      <c r="N55" s="27"/>
      <c r="O55" s="42"/>
    </row>
    <row r="56" spans="1:15" s="60" customFormat="1" ht="15.75" x14ac:dyDescent="0.25">
      <c r="A56" s="27"/>
      <c r="B56" s="43"/>
      <c r="C56" s="27"/>
      <c r="D56" s="27"/>
      <c r="E56" s="42"/>
      <c r="F56" s="27"/>
      <c r="G56" s="43"/>
      <c r="H56" s="27"/>
      <c r="I56" s="27"/>
      <c r="J56" s="42"/>
      <c r="K56" s="27"/>
      <c r="L56" s="43"/>
      <c r="M56" s="27"/>
      <c r="N56" s="27"/>
      <c r="O56" s="42"/>
    </row>
    <row r="57" spans="1:15" s="60" customFormat="1" ht="15.75" x14ac:dyDescent="0.25">
      <c r="A57" s="27"/>
      <c r="B57" s="44"/>
      <c r="C57" s="40"/>
      <c r="D57" s="40"/>
      <c r="E57" s="42"/>
      <c r="F57" s="27"/>
      <c r="G57" s="44"/>
      <c r="H57" s="40"/>
      <c r="I57" s="40"/>
      <c r="J57" s="42"/>
      <c r="K57" s="27"/>
      <c r="L57" s="44"/>
      <c r="M57" s="40"/>
      <c r="N57" s="40"/>
      <c r="O57" s="42"/>
    </row>
    <row r="58" spans="1:15" s="60" customFormat="1" ht="15.75" x14ac:dyDescent="0.25">
      <c r="A58" s="27"/>
      <c r="B58" s="41"/>
      <c r="C58" s="30"/>
      <c r="D58" s="27"/>
      <c r="E58" s="42"/>
      <c r="F58" s="27"/>
      <c r="G58" s="41"/>
      <c r="H58" s="30"/>
      <c r="I58" s="27"/>
      <c r="J58" s="42"/>
      <c r="K58" s="27"/>
      <c r="L58" s="41"/>
      <c r="M58" s="30"/>
      <c r="N58" s="27"/>
      <c r="O58" s="42"/>
    </row>
    <row r="59" spans="1:15" s="60" customFormat="1" ht="15.75" x14ac:dyDescent="0.25">
      <c r="A59" s="27"/>
      <c r="B59" s="45"/>
      <c r="C59" s="46"/>
      <c r="D59" s="46"/>
      <c r="E59" s="47"/>
      <c r="F59" s="27"/>
      <c r="G59" s="45"/>
      <c r="H59" s="46"/>
      <c r="I59" s="46"/>
      <c r="J59" s="47"/>
      <c r="K59" s="31"/>
      <c r="L59" s="45"/>
      <c r="M59" s="46"/>
      <c r="N59" s="46"/>
      <c r="O59" s="47"/>
    </row>
    <row r="60" spans="1:15" s="60" customFormat="1" ht="15.75" x14ac:dyDescent="0.25">
      <c r="A60" s="27"/>
      <c r="B60" s="48"/>
      <c r="C60" s="49"/>
      <c r="D60" s="50"/>
      <c r="E60" s="51"/>
      <c r="F60" s="27"/>
      <c r="G60" s="48"/>
      <c r="H60" s="49"/>
      <c r="I60" s="50"/>
      <c r="J60" s="51"/>
      <c r="K60" s="27"/>
      <c r="L60" s="48"/>
      <c r="M60" s="49"/>
      <c r="N60" s="50"/>
      <c r="O60" s="51"/>
    </row>
    <row r="61" spans="1:15" s="60" customFormat="1" ht="15.75" x14ac:dyDescent="0.25">
      <c r="A61" s="27"/>
    </row>
    <row r="62" spans="1:15" s="60" customFormat="1" ht="15.75" x14ac:dyDescent="0.25">
      <c r="A62" s="27"/>
    </row>
    <row r="63" spans="1:15" s="60" customFormat="1" ht="15.75" x14ac:dyDescent="0.25">
      <c r="A63" s="27"/>
    </row>
    <row r="64" spans="1:15" s="60" customFormat="1" ht="15.75" x14ac:dyDescent="0.25">
      <c r="A64" s="27"/>
    </row>
    <row r="65" spans="10:14" s="60" customFormat="1" x14ac:dyDescent="0.25">
      <c r="J65" s="86"/>
      <c r="K65" s="86"/>
      <c r="L65" s="86"/>
      <c r="M65" s="86"/>
      <c r="N65" s="86"/>
    </row>
    <row r="66" spans="10:14" ht="9" hidden="1" customHeight="1" x14ac:dyDescent="0.25"/>
    <row r="68" spans="10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sheetProtection selectLockedCells="1"/>
  <dataConsolidate/>
  <mergeCells count="23">
    <mergeCell ref="B50:E50"/>
    <mergeCell ref="G50:J50"/>
    <mergeCell ref="L49:O50"/>
    <mergeCell ref="J65:N65"/>
    <mergeCell ref="B18:M18"/>
    <mergeCell ref="B20:M20"/>
    <mergeCell ref="B35:E35"/>
    <mergeCell ref="G35:J35"/>
    <mergeCell ref="L35:O35"/>
    <mergeCell ref="B22:F22"/>
    <mergeCell ref="H22:L22"/>
    <mergeCell ref="B24:F24"/>
    <mergeCell ref="H24:L24"/>
    <mergeCell ref="L34:O34"/>
    <mergeCell ref="B34:E34"/>
    <mergeCell ref="G34:J34"/>
    <mergeCell ref="B28:D28"/>
    <mergeCell ref="B7:D7"/>
    <mergeCell ref="B10:C10"/>
    <mergeCell ref="H10:J10"/>
    <mergeCell ref="M10:O10"/>
    <mergeCell ref="B16:E16"/>
    <mergeCell ref="B13:D13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0</xdr:rowOff>
                  </from>
                  <to>
                    <xdr:col>15</xdr:col>
                    <xdr:colOff>85725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333375</xdr:colOff>
                    <xdr:row>6</xdr:row>
                    <xdr:rowOff>0</xdr:rowOff>
                  </from>
                  <to>
                    <xdr:col>15</xdr:col>
                    <xdr:colOff>95250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Formulário Fotográfico</vt:lpstr>
      <vt:lpstr>Formulário!Print_Area</vt:lpstr>
      <vt:lpstr>'Formulário Fotográfico'!Print_Area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jose1.junior</dc:creator>
  <cp:lastModifiedBy>juan.stoute</cp:lastModifiedBy>
  <cp:lastPrinted>2022-08-16T20:10:25Z</cp:lastPrinted>
  <dcterms:created xsi:type="dcterms:W3CDTF">2014-07-15T11:40:56Z</dcterms:created>
  <dcterms:modified xsi:type="dcterms:W3CDTF">2022-09-07T19:24:34Z</dcterms:modified>
</cp:coreProperties>
</file>